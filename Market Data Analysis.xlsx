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SES\OneDrive\Documents\"/>
    </mc:Choice>
  </mc:AlternateContent>
  <xr:revisionPtr revIDLastSave="0" documentId="8_{F13CED7E-8837-4400-9F5A-C94640A4751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&amp;P 500 Historical Data" sheetId="2" r:id="rId1"/>
    <sheet name="Nifty Historical Data" sheetId="3" r:id="rId2"/>
    <sheet name="GOLD Historical Data USD" sheetId="4" r:id="rId3"/>
    <sheet name="Brent Crude Price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5" l="1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3" i="5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3" i="4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3" i="3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</calcChain>
</file>

<file path=xl/sharedStrings.xml><?xml version="1.0" encoding="utf-8"?>
<sst xmlns="http://schemas.openxmlformats.org/spreadsheetml/2006/main" count="86" uniqueCount="23">
  <si>
    <t>Feb 27, 2026</t>
  </si>
  <si>
    <t>Mar 2, 2026</t>
  </si>
  <si>
    <t>Mar 3, 2026</t>
  </si>
  <si>
    <t>Mar 4, 2026</t>
  </si>
  <si>
    <t>Mar 5, 2026</t>
  </si>
  <si>
    <t>Mar 6, 2026</t>
  </si>
  <si>
    <t>Mar 9, 2026</t>
  </si>
  <si>
    <t>Mar 10, 2026</t>
  </si>
  <si>
    <t>Mar 11, 2026</t>
  </si>
  <si>
    <t>Mar 12, 2026</t>
  </si>
  <si>
    <t>Mar 13, 2026</t>
  </si>
  <si>
    <t>Mar 16, 2026</t>
  </si>
  <si>
    <t>Mar 17, 2026</t>
  </si>
  <si>
    <t>Mar 18, 2026</t>
  </si>
  <si>
    <t>Mar 19, 2026</t>
  </si>
  <si>
    <t>Close</t>
  </si>
  <si>
    <t>Low</t>
  </si>
  <si>
    <t>High</t>
  </si>
  <si>
    <t>Open</t>
  </si>
  <si>
    <t>Date</t>
  </si>
  <si>
    <t>Currency in INR</t>
  </si>
  <si>
    <t>Currency in USD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</si>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</sst>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scheme val="minor"/>
    </font>
    <font>
      <sz val="10"/>
      <name val="Arial"/>
    </font>
    <font>
      <b/>
      <sz val="11"/>
      <color rgb="FFFFFFFF"/>
      <name val="Arial"/>
    </font>
    <font>
      <i/>
      <sz val="10"/>
      <color rgb="FF555555"/>
      <name val="Arial"/>
    </font>
  </fonts>
  <fills count="5">
    <fill>
      <patternFill patternType="none"/>
    </fill>
    <fill>
      <patternFill patternType="gray125"/>
    </fill>
    <fill>
      <patternFill patternType="solid">
        <fgColor rgb="FFEEF2F7"/>
        <bgColor rgb="FFEEF2F7"/>
      </patternFill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" fillId="0" borderId="0"/>
  </cellStyleXfs>
  <cellXfs count="11">
    <xf numFmtId="0" fontId="0" fillId="0" borderId="0" xfId="0"/>
    <xf numFmtId="0" fontId="1" fillId="0" borderId="0" xfId="2"/>
    <xf numFmtId="4" fontId="3" fillId="2" borderId="1" xfId="2" applyNumberFormat="1" applyFont="1" applyFill="1" applyBorder="1" applyAlignment="1">
      <alignment horizontal="right"/>
    </xf>
    <xf numFmtId="0" fontId="3" fillId="2" borderId="1" xfId="2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right"/>
    </xf>
    <xf numFmtId="0" fontId="3" fillId="3" borderId="1" xfId="2" applyFont="1" applyFill="1" applyBorder="1" applyAlignment="1">
      <alignment horizontal="center"/>
    </xf>
    <xf numFmtId="0" fontId="4" fillId="4" borderId="1" xfId="2" applyFont="1" applyFill="1" applyBorder="1" applyAlignment="1">
      <alignment horizontal="center" vertical="center"/>
    </xf>
    <xf numFmtId="0" fontId="5" fillId="0" borderId="0" xfId="2" applyFont="1" applyAlignment="1">
      <alignment horizontal="right"/>
    </xf>
    <xf numFmtId="9" fontId="3" fillId="2" borderId="1" xfId="1" applyFont="1" applyFill="1" applyBorder="1" applyAlignment="1">
      <alignment horizontal="right"/>
    </xf>
    <xf numFmtId="9" fontId="3" fillId="3" borderId="1" xfId="1" applyFont="1" applyFill="1" applyBorder="1" applyAlignment="1">
      <alignment horizontal="right"/>
    </xf>
    <xf numFmtId="0" fontId="5" fillId="0" borderId="0" xfId="2" applyFont="1" applyAlignment="1">
      <alignment horizontal="right"/>
    </xf>
  </cellXfs>
  <cellStyles count="3">
    <cellStyle name="Normal" xfId="0" builtinId="0"/>
    <cellStyle name="Normal 2" xfId="2" xr:uid="{BD9329B3-A0B5-4CE9-851D-3B096DCFB9C5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S&amp;P</a:t>
            </a:r>
            <a:r>
              <a:rPr lang="en-US" baseline="0"/>
              <a:t> 500 Index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'S&amp;P 500 Historical Data'!$E$1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'S&amp;P 500 Historical Data'!$A$2:$A$16</c:f>
              <c:strCache>
                <c:ptCount val="15"/>
                <c:pt idx="0">
                  <c:v>Mar 19, 2026</c:v>
                </c:pt>
                <c:pt idx="1">
                  <c:v>Mar 18, 2026</c:v>
                </c:pt>
                <c:pt idx="2">
                  <c:v>Mar 17, 2026</c:v>
                </c:pt>
                <c:pt idx="3">
                  <c:v>Mar 16, 2026</c:v>
                </c:pt>
                <c:pt idx="4">
                  <c:v>Mar 13, 2026</c:v>
                </c:pt>
                <c:pt idx="5">
                  <c:v>Mar 12, 2026</c:v>
                </c:pt>
                <c:pt idx="6">
                  <c:v>Mar 11, 2026</c:v>
                </c:pt>
                <c:pt idx="7">
                  <c:v>Mar 10, 2026</c:v>
                </c:pt>
                <c:pt idx="8">
                  <c:v>Mar 9, 2026</c:v>
                </c:pt>
                <c:pt idx="9">
                  <c:v>Mar 6, 2026</c:v>
                </c:pt>
                <c:pt idx="10">
                  <c:v>Mar 5, 2026</c:v>
                </c:pt>
                <c:pt idx="11">
                  <c:v>Mar 4, 2026</c:v>
                </c:pt>
                <c:pt idx="12">
                  <c:v>Mar 3, 2026</c:v>
                </c:pt>
                <c:pt idx="13">
                  <c:v>Mar 2, 2026</c:v>
                </c:pt>
                <c:pt idx="14">
                  <c:v>Feb 27, 2026</c:v>
                </c:pt>
              </c:strCache>
            </c:strRef>
          </c:cat>
          <c:val>
            <c:numRef>
              <c:f>'S&amp;P 500 Historical Data'!$E$2:$E$16</c:f>
              <c:numCache>
                <c:formatCode>#,##0.00</c:formatCode>
                <c:ptCount val="15"/>
                <c:pt idx="0">
                  <c:v>6606.49</c:v>
                </c:pt>
                <c:pt idx="1">
                  <c:v>6624.7</c:v>
                </c:pt>
                <c:pt idx="2">
                  <c:v>6716.09</c:v>
                </c:pt>
                <c:pt idx="3">
                  <c:v>6699.38</c:v>
                </c:pt>
                <c:pt idx="4">
                  <c:v>6632.19</c:v>
                </c:pt>
                <c:pt idx="5">
                  <c:v>6672.62</c:v>
                </c:pt>
                <c:pt idx="6">
                  <c:v>6775.8</c:v>
                </c:pt>
                <c:pt idx="7">
                  <c:v>6781.48</c:v>
                </c:pt>
                <c:pt idx="8">
                  <c:v>6795.99</c:v>
                </c:pt>
                <c:pt idx="9">
                  <c:v>6740.02</c:v>
                </c:pt>
                <c:pt idx="10">
                  <c:v>6830.71</c:v>
                </c:pt>
                <c:pt idx="11">
                  <c:v>6869.5</c:v>
                </c:pt>
                <c:pt idx="12">
                  <c:v>6816.63</c:v>
                </c:pt>
                <c:pt idx="13">
                  <c:v>6881.62</c:v>
                </c:pt>
                <c:pt idx="14">
                  <c:v>6878.88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A1-4B8E-AB30-02AEDFBD0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10432"/>
        <c:axId val="861139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'S&amp;P 500 Historical Data'!$B$1</c15:sqref>
                        </c15:formulaRef>
                      </c:ext>
                    </c:extLst>
                    <c:strCache>
                      <c:ptCount val="1"/>
                      <c:pt idx="0">
                        <c:v>Open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'S&amp;P 500 Historical Data'!$A$2:$A$16</c15:sqref>
                        </c15:formulaRef>
                      </c:ext>
                    </c:extLst>
                    <c:strCache>
                      <c:ptCount val="15"/>
                      <c:pt idx="0">
                        <c:v>Mar 19, 2026</c:v>
                      </c:pt>
                      <c:pt idx="1">
                        <c:v>Mar 18, 2026</c:v>
                      </c:pt>
                      <c:pt idx="2">
                        <c:v>Mar 17, 2026</c:v>
                      </c:pt>
                      <c:pt idx="3">
                        <c:v>Mar 16, 2026</c:v>
                      </c:pt>
                      <c:pt idx="4">
                        <c:v>Mar 13, 2026</c:v>
                      </c:pt>
                      <c:pt idx="5">
                        <c:v>Mar 12, 2026</c:v>
                      </c:pt>
                      <c:pt idx="6">
                        <c:v>Mar 11, 2026</c:v>
                      </c:pt>
                      <c:pt idx="7">
                        <c:v>Mar 10, 2026</c:v>
                      </c:pt>
                      <c:pt idx="8">
                        <c:v>Mar 9, 2026</c:v>
                      </c:pt>
                      <c:pt idx="9">
                        <c:v>Mar 6, 2026</c:v>
                      </c:pt>
                      <c:pt idx="10">
                        <c:v>Mar 5, 2026</c:v>
                      </c:pt>
                      <c:pt idx="11">
                        <c:v>Mar 4, 2026</c:v>
                      </c:pt>
                      <c:pt idx="12">
                        <c:v>Mar 3, 2026</c:v>
                      </c:pt>
                      <c:pt idx="13">
                        <c:v>Mar 2, 2026</c:v>
                      </c:pt>
                      <c:pt idx="14">
                        <c:v>Feb 27, 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'S&amp;P 500 Historical Data'!$B$2:$B$16</c15:sqref>
                        </c15:formulaRef>
                      </c:ext>
                    </c:extLst>
                    <c:numCache>
                      <c:formatCode>#,##0.00</c:formatCode>
                      <c:ptCount val="15"/>
                      <c:pt idx="0">
                        <c:v>6583.12</c:v>
                      </c:pt>
                      <c:pt idx="1">
                        <c:v>6697.16</c:v>
                      </c:pt>
                      <c:pt idx="2">
                        <c:v>6722.35</c:v>
                      </c:pt>
                      <c:pt idx="3">
                        <c:v>6674.37</c:v>
                      </c:pt>
                      <c:pt idx="4">
                        <c:v>6673.49</c:v>
                      </c:pt>
                      <c:pt idx="5">
                        <c:v>6740.88</c:v>
                      </c:pt>
                      <c:pt idx="6">
                        <c:v>6790.09</c:v>
                      </c:pt>
                      <c:pt idx="7">
                        <c:v>6796.56</c:v>
                      </c:pt>
                      <c:pt idx="8">
                        <c:v>6699.8</c:v>
                      </c:pt>
                      <c:pt idx="9">
                        <c:v>6769.03</c:v>
                      </c:pt>
                      <c:pt idx="10">
                        <c:v>6851.08</c:v>
                      </c:pt>
                      <c:pt idx="11">
                        <c:v>6831.69</c:v>
                      </c:pt>
                      <c:pt idx="12">
                        <c:v>6800.26</c:v>
                      </c:pt>
                      <c:pt idx="13">
                        <c:v>6824.36</c:v>
                      </c:pt>
                      <c:pt idx="14">
                        <c:v>6856.54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BA1-4B8E-AB30-02AEDFBD056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'S&amp;P 500 Historical Data'!$C$1</c15:sqref>
                        </c15:formulaRef>
                      </c:ext>
                    </c:extLst>
                    <c:strCache>
                      <c:ptCount val="1"/>
                      <c:pt idx="0">
                        <c:v>High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'S&amp;P 500 Historical Data'!$A$2:$A$16</c15:sqref>
                        </c15:formulaRef>
                      </c:ext>
                    </c:extLst>
                    <c:strCache>
                      <c:ptCount val="15"/>
                      <c:pt idx="0">
                        <c:v>Mar 19, 2026</c:v>
                      </c:pt>
                      <c:pt idx="1">
                        <c:v>Mar 18, 2026</c:v>
                      </c:pt>
                      <c:pt idx="2">
                        <c:v>Mar 17, 2026</c:v>
                      </c:pt>
                      <c:pt idx="3">
                        <c:v>Mar 16, 2026</c:v>
                      </c:pt>
                      <c:pt idx="4">
                        <c:v>Mar 13, 2026</c:v>
                      </c:pt>
                      <c:pt idx="5">
                        <c:v>Mar 12, 2026</c:v>
                      </c:pt>
                      <c:pt idx="6">
                        <c:v>Mar 11, 2026</c:v>
                      </c:pt>
                      <c:pt idx="7">
                        <c:v>Mar 10, 2026</c:v>
                      </c:pt>
                      <c:pt idx="8">
                        <c:v>Mar 9, 2026</c:v>
                      </c:pt>
                      <c:pt idx="9">
                        <c:v>Mar 6, 2026</c:v>
                      </c:pt>
                      <c:pt idx="10">
                        <c:v>Mar 5, 2026</c:v>
                      </c:pt>
                      <c:pt idx="11">
                        <c:v>Mar 4, 2026</c:v>
                      </c:pt>
                      <c:pt idx="12">
                        <c:v>Mar 3, 2026</c:v>
                      </c:pt>
                      <c:pt idx="13">
                        <c:v>Mar 2, 2026</c:v>
                      </c:pt>
                      <c:pt idx="14">
                        <c:v>Feb 27, 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'S&amp;P 500 Historical Data'!$C$2:$C$16</c15:sqref>
                        </c15:formulaRef>
                      </c:ext>
                    </c:extLst>
                    <c:numCache>
                      <c:formatCode>#,##0.00</c:formatCode>
                      <c:ptCount val="15"/>
                      <c:pt idx="0">
                        <c:v>6636.74</c:v>
                      </c:pt>
                      <c:pt idx="1">
                        <c:v>6705.18</c:v>
                      </c:pt>
                      <c:pt idx="2">
                        <c:v>6754.3</c:v>
                      </c:pt>
                      <c:pt idx="3">
                        <c:v>6729.79</c:v>
                      </c:pt>
                      <c:pt idx="4">
                        <c:v>6733.3</c:v>
                      </c:pt>
                      <c:pt idx="5">
                        <c:v>6740.88</c:v>
                      </c:pt>
                      <c:pt idx="6">
                        <c:v>6811.15</c:v>
                      </c:pt>
                      <c:pt idx="7">
                        <c:v>6845.08</c:v>
                      </c:pt>
                      <c:pt idx="8">
                        <c:v>6810.44</c:v>
                      </c:pt>
                      <c:pt idx="9">
                        <c:v>6773.42</c:v>
                      </c:pt>
                      <c:pt idx="10">
                        <c:v>6870.43</c:v>
                      </c:pt>
                      <c:pt idx="11">
                        <c:v>6885.94</c:v>
                      </c:pt>
                      <c:pt idx="12">
                        <c:v>6840.05</c:v>
                      </c:pt>
                      <c:pt idx="13">
                        <c:v>6901.01</c:v>
                      </c:pt>
                      <c:pt idx="14">
                        <c:v>6882.96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BA1-4B8E-AB30-02AEDFBD056E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'S&amp;P 500 Historical Data'!$D$1</c15:sqref>
                        </c15:formulaRef>
                      </c:ext>
                    </c:extLst>
                    <c:strCache>
                      <c:ptCount val="1"/>
                      <c:pt idx="0">
                        <c:v>Low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'S&amp;P 500 Historical Data'!$A$2:$A$16</c15:sqref>
                        </c15:formulaRef>
                      </c:ext>
                    </c:extLst>
                    <c:strCache>
                      <c:ptCount val="15"/>
                      <c:pt idx="0">
                        <c:v>Mar 19, 2026</c:v>
                      </c:pt>
                      <c:pt idx="1">
                        <c:v>Mar 18, 2026</c:v>
                      </c:pt>
                      <c:pt idx="2">
                        <c:v>Mar 17, 2026</c:v>
                      </c:pt>
                      <c:pt idx="3">
                        <c:v>Mar 16, 2026</c:v>
                      </c:pt>
                      <c:pt idx="4">
                        <c:v>Mar 13, 2026</c:v>
                      </c:pt>
                      <c:pt idx="5">
                        <c:v>Mar 12, 2026</c:v>
                      </c:pt>
                      <c:pt idx="6">
                        <c:v>Mar 11, 2026</c:v>
                      </c:pt>
                      <c:pt idx="7">
                        <c:v>Mar 10, 2026</c:v>
                      </c:pt>
                      <c:pt idx="8">
                        <c:v>Mar 9, 2026</c:v>
                      </c:pt>
                      <c:pt idx="9">
                        <c:v>Mar 6, 2026</c:v>
                      </c:pt>
                      <c:pt idx="10">
                        <c:v>Mar 5, 2026</c:v>
                      </c:pt>
                      <c:pt idx="11">
                        <c:v>Mar 4, 2026</c:v>
                      </c:pt>
                      <c:pt idx="12">
                        <c:v>Mar 3, 2026</c:v>
                      </c:pt>
                      <c:pt idx="13">
                        <c:v>Mar 2, 2026</c:v>
                      </c:pt>
                      <c:pt idx="14">
                        <c:v>Feb 27, 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'S&amp;P 500 Historical Data'!$D$2:$D$16</c15:sqref>
                        </c15:formulaRef>
                      </c:ext>
                    </c:extLst>
                    <c:numCache>
                      <c:formatCode>#,##0.00</c:formatCode>
                      <c:ptCount val="15"/>
                      <c:pt idx="0">
                        <c:v>6557.82</c:v>
                      </c:pt>
                      <c:pt idx="1">
                        <c:v>6621.66</c:v>
                      </c:pt>
                      <c:pt idx="2">
                        <c:v>6710.8</c:v>
                      </c:pt>
                      <c:pt idx="3">
                        <c:v>6674.37</c:v>
                      </c:pt>
                      <c:pt idx="4">
                        <c:v>6623.92</c:v>
                      </c:pt>
                      <c:pt idx="5">
                        <c:v>6670.4</c:v>
                      </c:pt>
                      <c:pt idx="6">
                        <c:v>6745.59</c:v>
                      </c:pt>
                      <c:pt idx="7">
                        <c:v>6759.74</c:v>
                      </c:pt>
                      <c:pt idx="8">
                        <c:v>6636.04</c:v>
                      </c:pt>
                      <c:pt idx="9">
                        <c:v>6711.56</c:v>
                      </c:pt>
                      <c:pt idx="10">
                        <c:v>6770.78</c:v>
                      </c:pt>
                      <c:pt idx="11">
                        <c:v>6811.64</c:v>
                      </c:pt>
                      <c:pt idx="12">
                        <c:v>6710.42</c:v>
                      </c:pt>
                      <c:pt idx="13">
                        <c:v>6796.85</c:v>
                      </c:pt>
                      <c:pt idx="14">
                        <c:v>6831.74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BA1-4B8E-AB30-02AEDFBD056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'S&amp;P 500 Historical Data'!$F$1</c:f>
              <c:strCache>
                <c:ptCount val="1"/>
                <c:pt idx="0">
                  <c:v>Return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'S&amp;P 500 Historical Data'!$A$2:$A$16</c:f>
              <c:strCache>
                <c:ptCount val="15"/>
                <c:pt idx="0">
                  <c:v>Mar 19, 2026</c:v>
                </c:pt>
                <c:pt idx="1">
                  <c:v>Mar 18, 2026</c:v>
                </c:pt>
                <c:pt idx="2">
                  <c:v>Mar 17, 2026</c:v>
                </c:pt>
                <c:pt idx="3">
                  <c:v>Mar 16, 2026</c:v>
                </c:pt>
                <c:pt idx="4">
                  <c:v>Mar 13, 2026</c:v>
                </c:pt>
                <c:pt idx="5">
                  <c:v>Mar 12, 2026</c:v>
                </c:pt>
                <c:pt idx="6">
                  <c:v>Mar 11, 2026</c:v>
                </c:pt>
                <c:pt idx="7">
                  <c:v>Mar 10, 2026</c:v>
                </c:pt>
                <c:pt idx="8">
                  <c:v>Mar 9, 2026</c:v>
                </c:pt>
                <c:pt idx="9">
                  <c:v>Mar 6, 2026</c:v>
                </c:pt>
                <c:pt idx="10">
                  <c:v>Mar 5, 2026</c:v>
                </c:pt>
                <c:pt idx="11">
                  <c:v>Mar 4, 2026</c:v>
                </c:pt>
                <c:pt idx="12">
                  <c:v>Mar 3, 2026</c:v>
                </c:pt>
                <c:pt idx="13">
                  <c:v>Mar 2, 2026</c:v>
                </c:pt>
                <c:pt idx="14">
                  <c:v>Feb 27, 2026</c:v>
                </c:pt>
              </c:strCache>
            </c:strRef>
          </c:cat>
          <c:val>
            <c:numRef>
              <c:f>'S&amp;P 500 Historical Data'!$F$2:$F$16</c:f>
              <c:numCache>
                <c:formatCode>0%</c:formatCode>
                <c:ptCount val="15"/>
                <c:pt idx="0">
                  <c:v>3.54998845532208E-3</c:v>
                </c:pt>
                <c:pt idx="1">
                  <c:v>-1.0819511554151317E-2</c:v>
                </c:pt>
                <c:pt idx="2">
                  <c:v>-9.3122196850806908E-4</c:v>
                </c:pt>
                <c:pt idx="3">
                  <c:v>3.7471701448976037E-3</c:v>
                </c:pt>
                <c:pt idx="4">
                  <c:v>-6.1886659004509164E-3</c:v>
                </c:pt>
                <c:pt idx="5">
                  <c:v>-1.0126274314332879E-2</c:v>
                </c:pt>
                <c:pt idx="6">
                  <c:v>-2.1045376423581962E-3</c:v>
                </c:pt>
                <c:pt idx="7">
                  <c:v>-2.2187694951564963E-3</c:v>
                </c:pt>
                <c:pt idx="8">
                  <c:v>1.4357144989402609E-2</c:v>
                </c:pt>
                <c:pt idx="9">
                  <c:v>-4.2856952916443432E-3</c:v>
                </c:pt>
                <c:pt idx="10">
                  <c:v>-2.9732538519474144E-3</c:v>
                </c:pt>
                <c:pt idx="11">
                  <c:v>5.5345017118751585E-3</c:v>
                </c:pt>
                <c:pt idx="12">
                  <c:v>2.4072608988479692E-3</c:v>
                </c:pt>
                <c:pt idx="13">
                  <c:v>8.3905303940589628E-3</c:v>
                </c:pt>
                <c:pt idx="14">
                  <c:v>3.2582031170240596E-3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A1-4B8E-AB30-02AEDFBD0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278800"/>
        <c:axId val="173278320"/>
      </c:lineChart>
      <c:catAx>
        <c:axId val="861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1392"/>
        <c:crosses val="autoZero"/>
        <c:auto val="1"/>
        <c:lblAlgn val="ctr"/>
        <c:lblOffset val="100"/>
        <c:noMultiLvlLbl val="0"/>
      </c:catAx>
      <c:valAx>
        <c:axId val="861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0432"/>
        <c:crosses val="autoZero"/>
        <c:crossBetween val="between"/>
      </c:valAx>
      <c:valAx>
        <c:axId val="173278320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78800"/>
        <c:crosses val="max"/>
        <c:crossBetween val="between"/>
      </c:valAx>
      <c:catAx>
        <c:axId val="1732788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32783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NIFTY</a:t>
            </a:r>
            <a:r>
              <a:rPr lang="en-US" baseline="0"/>
              <a:t> 50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'Nifty Historical Data'!$E$2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'Nifty Historical Data'!$A$3:$A$16</c:f>
              <c:strCache>
                <c:ptCount val="14"/>
                <c:pt idx="0">
                  <c:v>Mar 19, 2026</c:v>
                </c:pt>
                <c:pt idx="1">
                  <c:v>Mar 18, 2026</c:v>
                </c:pt>
                <c:pt idx="2">
                  <c:v>Mar 17, 2026</c:v>
                </c:pt>
                <c:pt idx="3">
                  <c:v>Mar 16, 2026</c:v>
                </c:pt>
                <c:pt idx="4">
                  <c:v>Mar 13, 2026</c:v>
                </c:pt>
                <c:pt idx="5">
                  <c:v>Mar 12, 2026</c:v>
                </c:pt>
                <c:pt idx="6">
                  <c:v>Mar 11, 2026</c:v>
                </c:pt>
                <c:pt idx="7">
                  <c:v>Mar 10, 2026</c:v>
                </c:pt>
                <c:pt idx="8">
                  <c:v>Mar 9, 2026</c:v>
                </c:pt>
                <c:pt idx="9">
                  <c:v>Mar 6, 2026</c:v>
                </c:pt>
                <c:pt idx="10">
                  <c:v>Mar 5, 2026</c:v>
                </c:pt>
                <c:pt idx="11">
                  <c:v>Mar 4, 2026</c:v>
                </c:pt>
                <c:pt idx="12">
                  <c:v>Mar 2, 2026</c:v>
                </c:pt>
                <c:pt idx="13">
                  <c:v>Feb 27, 2026</c:v>
                </c:pt>
              </c:strCache>
            </c:strRef>
          </c:cat>
          <c:val>
            <c:numRef>
              <c:f>'Nifty Historical Data'!$E$3:$E$16</c:f>
              <c:numCache>
                <c:formatCode>#,##0.00</c:formatCode>
                <c:ptCount val="14"/>
                <c:pt idx="0">
                  <c:v>23002.15</c:v>
                </c:pt>
                <c:pt idx="1">
                  <c:v>23777.8</c:v>
                </c:pt>
                <c:pt idx="2">
                  <c:v>23581.15</c:v>
                </c:pt>
                <c:pt idx="3">
                  <c:v>23408.799999999999</c:v>
                </c:pt>
                <c:pt idx="4">
                  <c:v>23151.1</c:v>
                </c:pt>
                <c:pt idx="5">
                  <c:v>23639.15</c:v>
                </c:pt>
                <c:pt idx="6">
                  <c:v>23866.85</c:v>
                </c:pt>
                <c:pt idx="7">
                  <c:v>24261.599999999999</c:v>
                </c:pt>
                <c:pt idx="8">
                  <c:v>24028.05</c:v>
                </c:pt>
                <c:pt idx="9">
                  <c:v>24450.45</c:v>
                </c:pt>
                <c:pt idx="10">
                  <c:v>24765.9</c:v>
                </c:pt>
                <c:pt idx="11">
                  <c:v>24480.5</c:v>
                </c:pt>
                <c:pt idx="12">
                  <c:v>24865.7</c:v>
                </c:pt>
                <c:pt idx="13">
                  <c:v>25178.65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3C-49CD-93DA-A873EB00E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097520"/>
        <c:axId val="1870960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'Nifty Historical Data'!$B$2</c15:sqref>
                        </c15:formulaRef>
                      </c:ext>
                    </c:extLst>
                    <c:strCache>
                      <c:ptCount val="1"/>
                      <c:pt idx="0">
                        <c:v>Open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'Nifty Historical Data'!$A$3:$A$16</c15:sqref>
                        </c15:formulaRef>
                      </c:ext>
                    </c:extLst>
                    <c:strCache>
                      <c:ptCount val="14"/>
                      <c:pt idx="0">
                        <c:v>Mar 19, 2026</c:v>
                      </c:pt>
                      <c:pt idx="1">
                        <c:v>Mar 18, 2026</c:v>
                      </c:pt>
                      <c:pt idx="2">
                        <c:v>Mar 17, 2026</c:v>
                      </c:pt>
                      <c:pt idx="3">
                        <c:v>Mar 16, 2026</c:v>
                      </c:pt>
                      <c:pt idx="4">
                        <c:v>Mar 13, 2026</c:v>
                      </c:pt>
                      <c:pt idx="5">
                        <c:v>Mar 12, 2026</c:v>
                      </c:pt>
                      <c:pt idx="6">
                        <c:v>Mar 11, 2026</c:v>
                      </c:pt>
                      <c:pt idx="7">
                        <c:v>Mar 10, 2026</c:v>
                      </c:pt>
                      <c:pt idx="8">
                        <c:v>Mar 9, 2026</c:v>
                      </c:pt>
                      <c:pt idx="9">
                        <c:v>Mar 6, 2026</c:v>
                      </c:pt>
                      <c:pt idx="10">
                        <c:v>Mar 5, 2026</c:v>
                      </c:pt>
                      <c:pt idx="11">
                        <c:v>Mar 4, 2026</c:v>
                      </c:pt>
                      <c:pt idx="12">
                        <c:v>Mar 2, 2026</c:v>
                      </c:pt>
                      <c:pt idx="13">
                        <c:v>Feb 27, 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'Nifty Historical Data'!$B$3:$B$16</c15:sqref>
                        </c15:formulaRef>
                      </c:ext>
                    </c:extLst>
                    <c:numCache>
                      <c:formatCode>#,##0.00</c:formatCode>
                      <c:ptCount val="14"/>
                      <c:pt idx="0">
                        <c:v>23197.75</c:v>
                      </c:pt>
                      <c:pt idx="1">
                        <c:v>23632.9</c:v>
                      </c:pt>
                      <c:pt idx="2">
                        <c:v>23493.200000000001</c:v>
                      </c:pt>
                      <c:pt idx="3">
                        <c:v>23116.1</c:v>
                      </c:pt>
                      <c:pt idx="4">
                        <c:v>23462.5</c:v>
                      </c:pt>
                      <c:pt idx="5">
                        <c:v>23674.85</c:v>
                      </c:pt>
                      <c:pt idx="6">
                        <c:v>24231.85</c:v>
                      </c:pt>
                      <c:pt idx="7">
                        <c:v>24280.799999999999</c:v>
                      </c:pt>
                      <c:pt idx="8">
                        <c:v>23868.05</c:v>
                      </c:pt>
                      <c:pt idx="9">
                        <c:v>24656.400000000001</c:v>
                      </c:pt>
                      <c:pt idx="10">
                        <c:v>24615.95</c:v>
                      </c:pt>
                      <c:pt idx="11">
                        <c:v>24388.799999999999</c:v>
                      </c:pt>
                      <c:pt idx="12">
                        <c:v>24659.25</c:v>
                      </c:pt>
                      <c:pt idx="13">
                        <c:v>25459.85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33C-49CD-93DA-A873EB00E22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'Nifty Historical Data'!$C$2</c15:sqref>
                        </c15:formulaRef>
                      </c:ext>
                    </c:extLst>
                    <c:strCache>
                      <c:ptCount val="1"/>
                      <c:pt idx="0">
                        <c:v>High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'Nifty Historical Data'!$A$3:$A$16</c15:sqref>
                        </c15:formulaRef>
                      </c:ext>
                    </c:extLst>
                    <c:strCache>
                      <c:ptCount val="14"/>
                      <c:pt idx="0">
                        <c:v>Mar 19, 2026</c:v>
                      </c:pt>
                      <c:pt idx="1">
                        <c:v>Mar 18, 2026</c:v>
                      </c:pt>
                      <c:pt idx="2">
                        <c:v>Mar 17, 2026</c:v>
                      </c:pt>
                      <c:pt idx="3">
                        <c:v>Mar 16, 2026</c:v>
                      </c:pt>
                      <c:pt idx="4">
                        <c:v>Mar 13, 2026</c:v>
                      </c:pt>
                      <c:pt idx="5">
                        <c:v>Mar 12, 2026</c:v>
                      </c:pt>
                      <c:pt idx="6">
                        <c:v>Mar 11, 2026</c:v>
                      </c:pt>
                      <c:pt idx="7">
                        <c:v>Mar 10, 2026</c:v>
                      </c:pt>
                      <c:pt idx="8">
                        <c:v>Mar 9, 2026</c:v>
                      </c:pt>
                      <c:pt idx="9">
                        <c:v>Mar 6, 2026</c:v>
                      </c:pt>
                      <c:pt idx="10">
                        <c:v>Mar 5, 2026</c:v>
                      </c:pt>
                      <c:pt idx="11">
                        <c:v>Mar 4, 2026</c:v>
                      </c:pt>
                      <c:pt idx="12">
                        <c:v>Mar 2, 2026</c:v>
                      </c:pt>
                      <c:pt idx="13">
                        <c:v>Feb 27, 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'Nifty Historical Data'!$C$3:$C$16</c15:sqref>
                        </c15:formulaRef>
                      </c:ext>
                    </c:extLst>
                    <c:numCache>
                      <c:formatCode>#,##0.00</c:formatCode>
                      <c:ptCount val="14"/>
                      <c:pt idx="0">
                        <c:v>23378.7</c:v>
                      </c:pt>
                      <c:pt idx="1">
                        <c:v>23862.25</c:v>
                      </c:pt>
                      <c:pt idx="2">
                        <c:v>23656.799999999999</c:v>
                      </c:pt>
                      <c:pt idx="3">
                        <c:v>23502</c:v>
                      </c:pt>
                      <c:pt idx="4">
                        <c:v>23492.400000000001</c:v>
                      </c:pt>
                      <c:pt idx="5">
                        <c:v>23833.15</c:v>
                      </c:pt>
                      <c:pt idx="6">
                        <c:v>24299</c:v>
                      </c:pt>
                      <c:pt idx="7">
                        <c:v>24303.8</c:v>
                      </c:pt>
                      <c:pt idx="8">
                        <c:v>24078.15</c:v>
                      </c:pt>
                      <c:pt idx="9">
                        <c:v>24700.9</c:v>
                      </c:pt>
                      <c:pt idx="10">
                        <c:v>24854.2</c:v>
                      </c:pt>
                      <c:pt idx="11">
                        <c:v>24602.45</c:v>
                      </c:pt>
                      <c:pt idx="12">
                        <c:v>24989.35</c:v>
                      </c:pt>
                      <c:pt idx="13">
                        <c:v>25476.400000000001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33C-49CD-93DA-A873EB00E22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'Nifty Historical Data'!$D$2</c15:sqref>
                        </c15:formulaRef>
                      </c:ext>
                    </c:extLst>
                    <c:strCache>
                      <c:ptCount val="1"/>
                      <c:pt idx="0">
                        <c:v>Low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'Nifty Historical Data'!$A$3:$A$16</c15:sqref>
                        </c15:formulaRef>
                      </c:ext>
                    </c:extLst>
                    <c:strCache>
                      <c:ptCount val="14"/>
                      <c:pt idx="0">
                        <c:v>Mar 19, 2026</c:v>
                      </c:pt>
                      <c:pt idx="1">
                        <c:v>Mar 18, 2026</c:v>
                      </c:pt>
                      <c:pt idx="2">
                        <c:v>Mar 17, 2026</c:v>
                      </c:pt>
                      <c:pt idx="3">
                        <c:v>Mar 16, 2026</c:v>
                      </c:pt>
                      <c:pt idx="4">
                        <c:v>Mar 13, 2026</c:v>
                      </c:pt>
                      <c:pt idx="5">
                        <c:v>Mar 12, 2026</c:v>
                      </c:pt>
                      <c:pt idx="6">
                        <c:v>Mar 11, 2026</c:v>
                      </c:pt>
                      <c:pt idx="7">
                        <c:v>Mar 10, 2026</c:v>
                      </c:pt>
                      <c:pt idx="8">
                        <c:v>Mar 9, 2026</c:v>
                      </c:pt>
                      <c:pt idx="9">
                        <c:v>Mar 6, 2026</c:v>
                      </c:pt>
                      <c:pt idx="10">
                        <c:v>Mar 5, 2026</c:v>
                      </c:pt>
                      <c:pt idx="11">
                        <c:v>Mar 4, 2026</c:v>
                      </c:pt>
                      <c:pt idx="12">
                        <c:v>Mar 2, 2026</c:v>
                      </c:pt>
                      <c:pt idx="13">
                        <c:v>Feb 27, 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'Nifty Historical Data'!$D$3:$D$16</c15:sqref>
                        </c15:formulaRef>
                      </c:ext>
                    </c:extLst>
                    <c:numCache>
                      <c:formatCode>#,##0.00</c:formatCode>
                      <c:ptCount val="14"/>
                      <c:pt idx="0">
                        <c:v>22930.35</c:v>
                      </c:pt>
                      <c:pt idx="1">
                        <c:v>23618.45</c:v>
                      </c:pt>
                      <c:pt idx="2">
                        <c:v>23346.6</c:v>
                      </c:pt>
                      <c:pt idx="3">
                        <c:v>22955.25</c:v>
                      </c:pt>
                      <c:pt idx="4">
                        <c:v>23112</c:v>
                      </c:pt>
                      <c:pt idx="5">
                        <c:v>23556.3</c:v>
                      </c:pt>
                      <c:pt idx="6">
                        <c:v>23834.3</c:v>
                      </c:pt>
                      <c:pt idx="7">
                        <c:v>24079.95</c:v>
                      </c:pt>
                      <c:pt idx="8">
                        <c:v>23697.8</c:v>
                      </c:pt>
                      <c:pt idx="9">
                        <c:v>24415.75</c:v>
                      </c:pt>
                      <c:pt idx="10">
                        <c:v>24529.4</c:v>
                      </c:pt>
                      <c:pt idx="11">
                        <c:v>24305.4</c:v>
                      </c:pt>
                      <c:pt idx="12">
                        <c:v>24603.5</c:v>
                      </c:pt>
                      <c:pt idx="13">
                        <c:v>25141.3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33C-49CD-93DA-A873EB00E22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'Nifty Historical Data'!$F$2</c:f>
              <c:strCache>
                <c:ptCount val="1"/>
                <c:pt idx="0">
                  <c:v>Return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'Nifty Historical Data'!$A$3:$A$16</c:f>
              <c:strCache>
                <c:ptCount val="14"/>
                <c:pt idx="0">
                  <c:v>Mar 19, 2026</c:v>
                </c:pt>
                <c:pt idx="1">
                  <c:v>Mar 18, 2026</c:v>
                </c:pt>
                <c:pt idx="2">
                  <c:v>Mar 17, 2026</c:v>
                </c:pt>
                <c:pt idx="3">
                  <c:v>Mar 16, 2026</c:v>
                </c:pt>
                <c:pt idx="4">
                  <c:v>Mar 13, 2026</c:v>
                </c:pt>
                <c:pt idx="5">
                  <c:v>Mar 12, 2026</c:v>
                </c:pt>
                <c:pt idx="6">
                  <c:v>Mar 11, 2026</c:v>
                </c:pt>
                <c:pt idx="7">
                  <c:v>Mar 10, 2026</c:v>
                </c:pt>
                <c:pt idx="8">
                  <c:v>Mar 9, 2026</c:v>
                </c:pt>
                <c:pt idx="9">
                  <c:v>Mar 6, 2026</c:v>
                </c:pt>
                <c:pt idx="10">
                  <c:v>Mar 5, 2026</c:v>
                </c:pt>
                <c:pt idx="11">
                  <c:v>Mar 4, 2026</c:v>
                </c:pt>
                <c:pt idx="12">
                  <c:v>Mar 2, 2026</c:v>
                </c:pt>
                <c:pt idx="13">
                  <c:v>Feb 27, 2026</c:v>
                </c:pt>
              </c:strCache>
            </c:strRef>
          </c:cat>
          <c:val>
            <c:numRef>
              <c:f>'Nifty Historical Data'!$F$3:$F$16</c:f>
              <c:numCache>
                <c:formatCode>0%</c:formatCode>
                <c:ptCount val="14"/>
                <c:pt idx="0">
                  <c:v>-8.4318522270478199E-3</c:v>
                </c:pt>
                <c:pt idx="1">
                  <c:v>6.1312830841749348E-3</c:v>
                </c:pt>
                <c:pt idx="2">
                  <c:v>3.7436364565065945E-3</c:v>
                </c:pt>
                <c:pt idx="3">
                  <c:v>1.2662170521844115E-2</c:v>
                </c:pt>
                <c:pt idx="4">
                  <c:v>-1.3272242940863141E-2</c:v>
                </c:pt>
                <c:pt idx="5">
                  <c:v>-1.5079293005023091E-3</c:v>
                </c:pt>
                <c:pt idx="6">
                  <c:v>-1.5062820213892048E-2</c:v>
                </c:pt>
                <c:pt idx="7">
                  <c:v>-7.9074824552736024E-4</c:v>
                </c:pt>
                <c:pt idx="8">
                  <c:v>6.7035220723938487E-3</c:v>
                </c:pt>
                <c:pt idx="9">
                  <c:v>-8.3528008955078888E-3</c:v>
                </c:pt>
                <c:pt idx="10">
                  <c:v>6.0915788340486846E-3</c:v>
                </c:pt>
                <c:pt idx="11">
                  <c:v>3.7599225874172049E-3</c:v>
                </c:pt>
                <c:pt idx="12">
                  <c:v>8.3721118849924767E-3</c:v>
                </c:pt>
                <c:pt idx="13">
                  <c:v>-1.1044841191130235E-2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33C-49CD-93DA-A873EB00E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094160"/>
        <c:axId val="187095120"/>
      </c:lineChart>
      <c:catAx>
        <c:axId val="18709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96080"/>
        <c:crosses val="autoZero"/>
        <c:auto val="1"/>
        <c:lblAlgn val="ctr"/>
        <c:lblOffset val="100"/>
        <c:noMultiLvlLbl val="0"/>
      </c:catAx>
      <c:valAx>
        <c:axId val="18709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97520"/>
        <c:crosses val="autoZero"/>
        <c:crossBetween val="between"/>
      </c:valAx>
      <c:valAx>
        <c:axId val="187095120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94160"/>
        <c:crosses val="max"/>
        <c:crossBetween val="between"/>
      </c:valAx>
      <c:catAx>
        <c:axId val="1870941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7095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Gold</a:t>
            </a:r>
            <a:r>
              <a:rPr lang="en-US" baseline="0"/>
              <a:t> Prices (Safe haven asset)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'GOLD Historical Data USD'!$E$2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'GOLD Historical Data USD'!$A$3:$A$17</c:f>
              <c:strCache>
                <c:ptCount val="15"/>
                <c:pt idx="0">
                  <c:v>Mar 19, 2026</c:v>
                </c:pt>
                <c:pt idx="1">
                  <c:v>Mar 18, 2026</c:v>
                </c:pt>
                <c:pt idx="2">
                  <c:v>Mar 17, 2026</c:v>
                </c:pt>
                <c:pt idx="3">
                  <c:v>Mar 16, 2026</c:v>
                </c:pt>
                <c:pt idx="4">
                  <c:v>Mar 13, 2026</c:v>
                </c:pt>
                <c:pt idx="5">
                  <c:v>Mar 12, 2026</c:v>
                </c:pt>
                <c:pt idx="6">
                  <c:v>Mar 11, 2026</c:v>
                </c:pt>
                <c:pt idx="7">
                  <c:v>Mar 10, 2026</c:v>
                </c:pt>
                <c:pt idx="8">
                  <c:v>Mar 9, 2026</c:v>
                </c:pt>
                <c:pt idx="9">
                  <c:v>Mar 6, 2026</c:v>
                </c:pt>
                <c:pt idx="10">
                  <c:v>Mar 5, 2026</c:v>
                </c:pt>
                <c:pt idx="11">
                  <c:v>Mar 4, 2026</c:v>
                </c:pt>
                <c:pt idx="12">
                  <c:v>Mar 3, 2026</c:v>
                </c:pt>
                <c:pt idx="13">
                  <c:v>Mar 2, 2026</c:v>
                </c:pt>
                <c:pt idx="14">
                  <c:v>Feb 27, 2026</c:v>
                </c:pt>
              </c:strCache>
            </c:strRef>
          </c:cat>
          <c:val>
            <c:numRef>
              <c:f>'GOLD Historical Data USD'!$E$3:$E$17</c:f>
              <c:numCache>
                <c:formatCode>#,##0.00</c:formatCode>
                <c:ptCount val="15"/>
                <c:pt idx="0">
                  <c:v>4600.7</c:v>
                </c:pt>
                <c:pt idx="1">
                  <c:v>4889.8999999999996</c:v>
                </c:pt>
                <c:pt idx="2">
                  <c:v>5001</c:v>
                </c:pt>
                <c:pt idx="3">
                  <c:v>4994</c:v>
                </c:pt>
                <c:pt idx="4">
                  <c:v>5052.5</c:v>
                </c:pt>
                <c:pt idx="5">
                  <c:v>5115.8</c:v>
                </c:pt>
                <c:pt idx="6">
                  <c:v>5167.3999999999996</c:v>
                </c:pt>
                <c:pt idx="7">
                  <c:v>5229.7</c:v>
                </c:pt>
                <c:pt idx="8">
                  <c:v>5091.5</c:v>
                </c:pt>
                <c:pt idx="9">
                  <c:v>5146.1000000000004</c:v>
                </c:pt>
                <c:pt idx="10">
                  <c:v>5065.3</c:v>
                </c:pt>
                <c:pt idx="11">
                  <c:v>5120.2</c:v>
                </c:pt>
                <c:pt idx="12">
                  <c:v>5107.3999999999996</c:v>
                </c:pt>
                <c:pt idx="13">
                  <c:v>5294.4</c:v>
                </c:pt>
                <c:pt idx="14">
                  <c:v>5230.5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E7-4068-9B22-483A9AB20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6657760"/>
        <c:axId val="11866582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'GOLD Historical Data USD'!$B$2</c15:sqref>
                        </c15:formulaRef>
                      </c:ext>
                    </c:extLst>
                    <c:strCache>
                      <c:ptCount val="1"/>
                      <c:pt idx="0">
                        <c:v>Open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'GOLD Historical Data USD'!$A$3:$A$17</c15:sqref>
                        </c15:formulaRef>
                      </c:ext>
                    </c:extLst>
                    <c:strCache>
                      <c:ptCount val="15"/>
                      <c:pt idx="0">
                        <c:v>Mar 19, 2026</c:v>
                      </c:pt>
                      <c:pt idx="1">
                        <c:v>Mar 18, 2026</c:v>
                      </c:pt>
                      <c:pt idx="2">
                        <c:v>Mar 17, 2026</c:v>
                      </c:pt>
                      <c:pt idx="3">
                        <c:v>Mar 16, 2026</c:v>
                      </c:pt>
                      <c:pt idx="4">
                        <c:v>Mar 13, 2026</c:v>
                      </c:pt>
                      <c:pt idx="5">
                        <c:v>Mar 12, 2026</c:v>
                      </c:pt>
                      <c:pt idx="6">
                        <c:v>Mar 11, 2026</c:v>
                      </c:pt>
                      <c:pt idx="7">
                        <c:v>Mar 10, 2026</c:v>
                      </c:pt>
                      <c:pt idx="8">
                        <c:v>Mar 9, 2026</c:v>
                      </c:pt>
                      <c:pt idx="9">
                        <c:v>Mar 6, 2026</c:v>
                      </c:pt>
                      <c:pt idx="10">
                        <c:v>Mar 5, 2026</c:v>
                      </c:pt>
                      <c:pt idx="11">
                        <c:v>Mar 4, 2026</c:v>
                      </c:pt>
                      <c:pt idx="12">
                        <c:v>Mar 3, 2026</c:v>
                      </c:pt>
                      <c:pt idx="13">
                        <c:v>Mar 2, 2026</c:v>
                      </c:pt>
                      <c:pt idx="14">
                        <c:v>Feb 27, 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'GOLD Historical Data USD'!$B$3:$B$17</c15:sqref>
                        </c15:formulaRef>
                      </c:ext>
                    </c:extLst>
                    <c:numCache>
                      <c:formatCode>#,##0.00</c:formatCode>
                      <c:ptCount val="15"/>
                      <c:pt idx="0">
                        <c:v>4830.3</c:v>
                      </c:pt>
                      <c:pt idx="1">
                        <c:v>4949.6000000000004</c:v>
                      </c:pt>
                      <c:pt idx="2">
                        <c:v>5017.6000000000004</c:v>
                      </c:pt>
                      <c:pt idx="3">
                        <c:v>5001.6000000000004</c:v>
                      </c:pt>
                      <c:pt idx="4">
                        <c:v>5089.6000000000004</c:v>
                      </c:pt>
                      <c:pt idx="5">
                        <c:v>5137.2</c:v>
                      </c:pt>
                      <c:pt idx="6">
                        <c:v>5190.8</c:v>
                      </c:pt>
                      <c:pt idx="7">
                        <c:v>5138.2</c:v>
                      </c:pt>
                      <c:pt idx="8">
                        <c:v>5155</c:v>
                      </c:pt>
                      <c:pt idx="9">
                        <c:v>5121</c:v>
                      </c:pt>
                      <c:pt idx="10">
                        <c:v>5169.5</c:v>
                      </c:pt>
                      <c:pt idx="11">
                        <c:v>5130.7</c:v>
                      </c:pt>
                      <c:pt idx="12">
                        <c:v>5298.7</c:v>
                      </c:pt>
                      <c:pt idx="13">
                        <c:v>5346.6</c:v>
                      </c:pt>
                      <c:pt idx="14">
                        <c:v>5186.7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FE7-4068-9B22-483A9AB2097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'GOLD Historical Data USD'!$C$2</c15:sqref>
                        </c15:formulaRef>
                      </c:ext>
                    </c:extLst>
                    <c:strCache>
                      <c:ptCount val="1"/>
                      <c:pt idx="0">
                        <c:v>High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'GOLD Historical Data USD'!$A$3:$A$17</c15:sqref>
                        </c15:formulaRef>
                      </c:ext>
                    </c:extLst>
                    <c:strCache>
                      <c:ptCount val="15"/>
                      <c:pt idx="0">
                        <c:v>Mar 19, 2026</c:v>
                      </c:pt>
                      <c:pt idx="1">
                        <c:v>Mar 18, 2026</c:v>
                      </c:pt>
                      <c:pt idx="2">
                        <c:v>Mar 17, 2026</c:v>
                      </c:pt>
                      <c:pt idx="3">
                        <c:v>Mar 16, 2026</c:v>
                      </c:pt>
                      <c:pt idx="4">
                        <c:v>Mar 13, 2026</c:v>
                      </c:pt>
                      <c:pt idx="5">
                        <c:v>Mar 12, 2026</c:v>
                      </c:pt>
                      <c:pt idx="6">
                        <c:v>Mar 11, 2026</c:v>
                      </c:pt>
                      <c:pt idx="7">
                        <c:v>Mar 10, 2026</c:v>
                      </c:pt>
                      <c:pt idx="8">
                        <c:v>Mar 9, 2026</c:v>
                      </c:pt>
                      <c:pt idx="9">
                        <c:v>Mar 6, 2026</c:v>
                      </c:pt>
                      <c:pt idx="10">
                        <c:v>Mar 5, 2026</c:v>
                      </c:pt>
                      <c:pt idx="11">
                        <c:v>Mar 4, 2026</c:v>
                      </c:pt>
                      <c:pt idx="12">
                        <c:v>Mar 3, 2026</c:v>
                      </c:pt>
                      <c:pt idx="13">
                        <c:v>Mar 2, 2026</c:v>
                      </c:pt>
                      <c:pt idx="14">
                        <c:v>Feb 27, 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'GOLD Historical Data USD'!$C$3:$C$17</c15:sqref>
                        </c15:formulaRef>
                      </c:ext>
                    </c:extLst>
                    <c:numCache>
                      <c:formatCode>#,##0.00</c:formatCode>
                      <c:ptCount val="15"/>
                      <c:pt idx="0">
                        <c:v>4830.3</c:v>
                      </c:pt>
                      <c:pt idx="1">
                        <c:v>4949.6000000000004</c:v>
                      </c:pt>
                      <c:pt idx="2">
                        <c:v>5017.6000000000004</c:v>
                      </c:pt>
                      <c:pt idx="3">
                        <c:v>5010.6000000000004</c:v>
                      </c:pt>
                      <c:pt idx="4">
                        <c:v>5117</c:v>
                      </c:pt>
                      <c:pt idx="5">
                        <c:v>5137.2</c:v>
                      </c:pt>
                      <c:pt idx="6">
                        <c:v>5191.3</c:v>
                      </c:pt>
                      <c:pt idx="7">
                        <c:v>5229.7</c:v>
                      </c:pt>
                      <c:pt idx="8">
                        <c:v>5160.6000000000004</c:v>
                      </c:pt>
                      <c:pt idx="9">
                        <c:v>5146.1000000000004</c:v>
                      </c:pt>
                      <c:pt idx="10">
                        <c:v>5169.5</c:v>
                      </c:pt>
                      <c:pt idx="11">
                        <c:v>5180.2</c:v>
                      </c:pt>
                      <c:pt idx="12">
                        <c:v>5303.8</c:v>
                      </c:pt>
                      <c:pt idx="13">
                        <c:v>5405</c:v>
                      </c:pt>
                      <c:pt idx="14">
                        <c:v>5280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FE7-4068-9B22-483A9AB2097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'GOLD Historical Data USD'!$D$2</c15:sqref>
                        </c15:formulaRef>
                      </c:ext>
                    </c:extLst>
                    <c:strCache>
                      <c:ptCount val="1"/>
                      <c:pt idx="0">
                        <c:v>Low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'GOLD Historical Data USD'!$A$3:$A$17</c15:sqref>
                        </c15:formulaRef>
                      </c:ext>
                    </c:extLst>
                    <c:strCache>
                      <c:ptCount val="15"/>
                      <c:pt idx="0">
                        <c:v>Mar 19, 2026</c:v>
                      </c:pt>
                      <c:pt idx="1">
                        <c:v>Mar 18, 2026</c:v>
                      </c:pt>
                      <c:pt idx="2">
                        <c:v>Mar 17, 2026</c:v>
                      </c:pt>
                      <c:pt idx="3">
                        <c:v>Mar 16, 2026</c:v>
                      </c:pt>
                      <c:pt idx="4">
                        <c:v>Mar 13, 2026</c:v>
                      </c:pt>
                      <c:pt idx="5">
                        <c:v>Mar 12, 2026</c:v>
                      </c:pt>
                      <c:pt idx="6">
                        <c:v>Mar 11, 2026</c:v>
                      </c:pt>
                      <c:pt idx="7">
                        <c:v>Mar 10, 2026</c:v>
                      </c:pt>
                      <c:pt idx="8">
                        <c:v>Mar 9, 2026</c:v>
                      </c:pt>
                      <c:pt idx="9">
                        <c:v>Mar 6, 2026</c:v>
                      </c:pt>
                      <c:pt idx="10">
                        <c:v>Mar 5, 2026</c:v>
                      </c:pt>
                      <c:pt idx="11">
                        <c:v>Mar 4, 2026</c:v>
                      </c:pt>
                      <c:pt idx="12">
                        <c:v>Mar 3, 2026</c:v>
                      </c:pt>
                      <c:pt idx="13">
                        <c:v>Mar 2, 2026</c:v>
                      </c:pt>
                      <c:pt idx="14">
                        <c:v>Feb 27, 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'GOLD Historical Data USD'!$D$3:$D$17</c15:sqref>
                        </c15:formulaRef>
                      </c:ext>
                    </c:extLst>
                    <c:numCache>
                      <c:formatCode>#,##0.00</c:formatCode>
                      <c:ptCount val="15"/>
                      <c:pt idx="0">
                        <c:v>4554</c:v>
                      </c:pt>
                      <c:pt idx="1">
                        <c:v>4821.7</c:v>
                      </c:pt>
                      <c:pt idx="2">
                        <c:v>4994.2</c:v>
                      </c:pt>
                      <c:pt idx="3">
                        <c:v>4994</c:v>
                      </c:pt>
                      <c:pt idx="4">
                        <c:v>5009.5</c:v>
                      </c:pt>
                      <c:pt idx="5">
                        <c:v>5115.8</c:v>
                      </c:pt>
                      <c:pt idx="6">
                        <c:v>5167.3999999999996</c:v>
                      </c:pt>
                      <c:pt idx="7">
                        <c:v>5137.6000000000004</c:v>
                      </c:pt>
                      <c:pt idx="8">
                        <c:v>5077.7</c:v>
                      </c:pt>
                      <c:pt idx="9">
                        <c:v>5076.1000000000004</c:v>
                      </c:pt>
                      <c:pt idx="10">
                        <c:v>5054.7</c:v>
                      </c:pt>
                      <c:pt idx="11">
                        <c:v>5117.2</c:v>
                      </c:pt>
                      <c:pt idx="12">
                        <c:v>5023</c:v>
                      </c:pt>
                      <c:pt idx="13">
                        <c:v>5266.3</c:v>
                      </c:pt>
                      <c:pt idx="14">
                        <c:v>5176.7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FE7-4068-9B22-483A9AB2097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'GOLD Historical Data USD'!$F$2</c:f>
              <c:strCache>
                <c:ptCount val="1"/>
                <c:pt idx="0">
                  <c:v>Return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'GOLD Historical Data USD'!$A$3:$A$17</c:f>
              <c:strCache>
                <c:ptCount val="15"/>
                <c:pt idx="0">
                  <c:v>Mar 19, 2026</c:v>
                </c:pt>
                <c:pt idx="1">
                  <c:v>Mar 18, 2026</c:v>
                </c:pt>
                <c:pt idx="2">
                  <c:v>Mar 17, 2026</c:v>
                </c:pt>
                <c:pt idx="3">
                  <c:v>Mar 16, 2026</c:v>
                </c:pt>
                <c:pt idx="4">
                  <c:v>Mar 13, 2026</c:v>
                </c:pt>
                <c:pt idx="5">
                  <c:v>Mar 12, 2026</c:v>
                </c:pt>
                <c:pt idx="6">
                  <c:v>Mar 11, 2026</c:v>
                </c:pt>
                <c:pt idx="7">
                  <c:v>Mar 10, 2026</c:v>
                </c:pt>
                <c:pt idx="8">
                  <c:v>Mar 9, 2026</c:v>
                </c:pt>
                <c:pt idx="9">
                  <c:v>Mar 6, 2026</c:v>
                </c:pt>
                <c:pt idx="10">
                  <c:v>Mar 5, 2026</c:v>
                </c:pt>
                <c:pt idx="11">
                  <c:v>Mar 4, 2026</c:v>
                </c:pt>
                <c:pt idx="12">
                  <c:v>Mar 3, 2026</c:v>
                </c:pt>
                <c:pt idx="13">
                  <c:v>Mar 2, 2026</c:v>
                </c:pt>
                <c:pt idx="14">
                  <c:v>Feb 27, 2026</c:v>
                </c:pt>
              </c:strCache>
            </c:strRef>
          </c:cat>
          <c:val>
            <c:numRef>
              <c:f>'GOLD Historical Data USD'!$F$3:$F$17</c:f>
              <c:numCache>
                <c:formatCode>0%</c:formatCode>
                <c:ptCount val="15"/>
                <c:pt idx="0">
                  <c:v>-4.753327950644895E-2</c:v>
                </c:pt>
                <c:pt idx="1">
                  <c:v>-1.2061580733796817E-2</c:v>
                </c:pt>
                <c:pt idx="2">
                  <c:v>-3.3083545918368069E-3</c:v>
                </c:pt>
                <c:pt idx="3">
                  <c:v>-1.5195137555982811E-3</c:v>
                </c:pt>
                <c:pt idx="4">
                  <c:v>-7.2893744105627873E-3</c:v>
                </c:pt>
                <c:pt idx="5">
                  <c:v>-4.1656933738222447E-3</c:v>
                </c:pt>
                <c:pt idx="6">
                  <c:v>-4.5079756492256576E-3</c:v>
                </c:pt>
                <c:pt idx="7">
                  <c:v>1.7807792612198826E-2</c:v>
                </c:pt>
                <c:pt idx="8">
                  <c:v>-1.2318137730358876E-2</c:v>
                </c:pt>
                <c:pt idx="9">
                  <c:v>4.901386447959454E-3</c:v>
                </c:pt>
                <c:pt idx="10">
                  <c:v>-2.0156688267724116E-2</c:v>
                </c:pt>
                <c:pt idx="11">
                  <c:v>-2.0465043756212604E-3</c:v>
                </c:pt>
                <c:pt idx="12">
                  <c:v>-3.6103195123332175E-2</c:v>
                </c:pt>
                <c:pt idx="13">
                  <c:v>-9.7632140051622952E-3</c:v>
                </c:pt>
                <c:pt idx="14">
                  <c:v>8.4446758054254507E-3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E7-4068-9B22-483A9AB20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6660640"/>
        <c:axId val="1186654880"/>
      </c:lineChart>
      <c:catAx>
        <c:axId val="118665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658240"/>
        <c:crosses val="autoZero"/>
        <c:auto val="1"/>
        <c:lblAlgn val="ctr"/>
        <c:lblOffset val="100"/>
        <c:noMultiLvlLbl val="0"/>
      </c:catAx>
      <c:valAx>
        <c:axId val="118665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657760"/>
        <c:crosses val="autoZero"/>
        <c:crossBetween val="between"/>
      </c:valAx>
      <c:valAx>
        <c:axId val="1186654880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660640"/>
        <c:crosses val="max"/>
        <c:crossBetween val="between"/>
      </c:valAx>
      <c:catAx>
        <c:axId val="11866606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86654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Brent</a:t>
            </a:r>
            <a:r>
              <a:rPr lang="en-US" baseline="0"/>
              <a:t> Crude Price movements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'Brent Crude Prices'!$E$2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'Brent Crude Prices'!$A$3:$A$17</c:f>
              <c:strCache>
                <c:ptCount val="15"/>
                <c:pt idx="0">
                  <c:v>Mar 19, 2026</c:v>
                </c:pt>
                <c:pt idx="1">
                  <c:v>Mar 18, 2026</c:v>
                </c:pt>
                <c:pt idx="2">
                  <c:v>Mar 17, 2026</c:v>
                </c:pt>
                <c:pt idx="3">
                  <c:v>Mar 16, 2026</c:v>
                </c:pt>
                <c:pt idx="4">
                  <c:v>Mar 13, 2026</c:v>
                </c:pt>
                <c:pt idx="5">
                  <c:v>Mar 12, 2026</c:v>
                </c:pt>
                <c:pt idx="6">
                  <c:v>Mar 11, 2026</c:v>
                </c:pt>
                <c:pt idx="7">
                  <c:v>Mar 10, 2026</c:v>
                </c:pt>
                <c:pt idx="8">
                  <c:v>Mar 9, 2026</c:v>
                </c:pt>
                <c:pt idx="9">
                  <c:v>Mar 6, 2026</c:v>
                </c:pt>
                <c:pt idx="10">
                  <c:v>Mar 5, 2026</c:v>
                </c:pt>
                <c:pt idx="11">
                  <c:v>Mar 4, 2026</c:v>
                </c:pt>
                <c:pt idx="12">
                  <c:v>Mar 3, 2026</c:v>
                </c:pt>
                <c:pt idx="13">
                  <c:v>Mar 2, 2026</c:v>
                </c:pt>
                <c:pt idx="14">
                  <c:v>Feb 27, 2026</c:v>
                </c:pt>
              </c:strCache>
            </c:strRef>
          </c:cat>
          <c:val>
            <c:numRef>
              <c:f>'Brent Crude Prices'!$E$3:$E$17</c:f>
              <c:numCache>
                <c:formatCode>#,##0.00</c:formatCode>
                <c:ptCount val="15"/>
                <c:pt idx="0">
                  <c:v>108.65</c:v>
                </c:pt>
                <c:pt idx="1">
                  <c:v>107.38</c:v>
                </c:pt>
                <c:pt idx="2">
                  <c:v>103.42</c:v>
                </c:pt>
                <c:pt idx="3">
                  <c:v>100.21</c:v>
                </c:pt>
                <c:pt idx="4">
                  <c:v>103.14</c:v>
                </c:pt>
                <c:pt idx="5">
                  <c:v>100.46</c:v>
                </c:pt>
                <c:pt idx="6">
                  <c:v>91.98</c:v>
                </c:pt>
                <c:pt idx="7">
                  <c:v>87.8</c:v>
                </c:pt>
                <c:pt idx="8">
                  <c:v>98.96</c:v>
                </c:pt>
                <c:pt idx="9">
                  <c:v>92.69</c:v>
                </c:pt>
                <c:pt idx="10">
                  <c:v>85.41</c:v>
                </c:pt>
                <c:pt idx="11">
                  <c:v>81.400000000000006</c:v>
                </c:pt>
                <c:pt idx="12">
                  <c:v>81.400000000000006</c:v>
                </c:pt>
                <c:pt idx="13">
                  <c:v>77.739999999999995</c:v>
                </c:pt>
                <c:pt idx="14">
                  <c:v>72.48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66-4892-9FD7-46CDC3E62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52000"/>
        <c:axId val="1656491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'Brent Crude Prices'!$B$2</c15:sqref>
                        </c15:formulaRef>
                      </c:ext>
                    </c:extLst>
                    <c:strCache>
                      <c:ptCount val="1"/>
                      <c:pt idx="0">
                        <c:v>Open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'Brent Crude Prices'!$A$3:$A$17</c15:sqref>
                        </c15:formulaRef>
                      </c:ext>
                    </c:extLst>
                    <c:strCache>
                      <c:ptCount val="15"/>
                      <c:pt idx="0">
                        <c:v>Mar 19, 2026</c:v>
                      </c:pt>
                      <c:pt idx="1">
                        <c:v>Mar 18, 2026</c:v>
                      </c:pt>
                      <c:pt idx="2">
                        <c:v>Mar 17, 2026</c:v>
                      </c:pt>
                      <c:pt idx="3">
                        <c:v>Mar 16, 2026</c:v>
                      </c:pt>
                      <c:pt idx="4">
                        <c:v>Mar 13, 2026</c:v>
                      </c:pt>
                      <c:pt idx="5">
                        <c:v>Mar 12, 2026</c:v>
                      </c:pt>
                      <c:pt idx="6">
                        <c:v>Mar 11, 2026</c:v>
                      </c:pt>
                      <c:pt idx="7">
                        <c:v>Mar 10, 2026</c:v>
                      </c:pt>
                      <c:pt idx="8">
                        <c:v>Mar 9, 2026</c:v>
                      </c:pt>
                      <c:pt idx="9">
                        <c:v>Mar 6, 2026</c:v>
                      </c:pt>
                      <c:pt idx="10">
                        <c:v>Mar 5, 2026</c:v>
                      </c:pt>
                      <c:pt idx="11">
                        <c:v>Mar 4, 2026</c:v>
                      </c:pt>
                      <c:pt idx="12">
                        <c:v>Mar 3, 2026</c:v>
                      </c:pt>
                      <c:pt idx="13">
                        <c:v>Mar 2, 2026</c:v>
                      </c:pt>
                      <c:pt idx="14">
                        <c:v>Feb 27, 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'Brent Crude Prices'!$B$3:$B$17</c15:sqref>
                        </c15:formulaRef>
                      </c:ext>
                    </c:extLst>
                    <c:numCache>
                      <c:formatCode>#,##0.00</c:formatCode>
                      <c:ptCount val="15"/>
                      <c:pt idx="0">
                        <c:v>109.66</c:v>
                      </c:pt>
                      <c:pt idx="1">
                        <c:v>103.45</c:v>
                      </c:pt>
                      <c:pt idx="2">
                        <c:v>101.37</c:v>
                      </c:pt>
                      <c:pt idx="3">
                        <c:v>105.51</c:v>
                      </c:pt>
                      <c:pt idx="4">
                        <c:v>101.66</c:v>
                      </c:pt>
                      <c:pt idx="5">
                        <c:v>93.74</c:v>
                      </c:pt>
                      <c:pt idx="6">
                        <c:v>91.3</c:v>
                      </c:pt>
                      <c:pt idx="7">
                        <c:v>92.45</c:v>
                      </c:pt>
                      <c:pt idx="8">
                        <c:v>98.36</c:v>
                      </c:pt>
                      <c:pt idx="9">
                        <c:v>84.84</c:v>
                      </c:pt>
                      <c:pt idx="10">
                        <c:v>82.43</c:v>
                      </c:pt>
                      <c:pt idx="11">
                        <c:v>81.900000000000006</c:v>
                      </c:pt>
                      <c:pt idx="12">
                        <c:v>78.05</c:v>
                      </c:pt>
                      <c:pt idx="13">
                        <c:v>77</c:v>
                      </c:pt>
                      <c:pt idx="14">
                        <c:v>70.5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366-4892-9FD7-46CDC3E62FF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'Brent Crude Prices'!$C$2</c15:sqref>
                        </c15:formulaRef>
                      </c:ext>
                    </c:extLst>
                    <c:strCache>
                      <c:ptCount val="1"/>
                      <c:pt idx="0">
                        <c:v>High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'Brent Crude Prices'!$A$3:$A$17</c15:sqref>
                        </c15:formulaRef>
                      </c:ext>
                    </c:extLst>
                    <c:strCache>
                      <c:ptCount val="15"/>
                      <c:pt idx="0">
                        <c:v>Mar 19, 2026</c:v>
                      </c:pt>
                      <c:pt idx="1">
                        <c:v>Mar 18, 2026</c:v>
                      </c:pt>
                      <c:pt idx="2">
                        <c:v>Mar 17, 2026</c:v>
                      </c:pt>
                      <c:pt idx="3">
                        <c:v>Mar 16, 2026</c:v>
                      </c:pt>
                      <c:pt idx="4">
                        <c:v>Mar 13, 2026</c:v>
                      </c:pt>
                      <c:pt idx="5">
                        <c:v>Mar 12, 2026</c:v>
                      </c:pt>
                      <c:pt idx="6">
                        <c:v>Mar 11, 2026</c:v>
                      </c:pt>
                      <c:pt idx="7">
                        <c:v>Mar 10, 2026</c:v>
                      </c:pt>
                      <c:pt idx="8">
                        <c:v>Mar 9, 2026</c:v>
                      </c:pt>
                      <c:pt idx="9">
                        <c:v>Mar 6, 2026</c:v>
                      </c:pt>
                      <c:pt idx="10">
                        <c:v>Mar 5, 2026</c:v>
                      </c:pt>
                      <c:pt idx="11">
                        <c:v>Mar 4, 2026</c:v>
                      </c:pt>
                      <c:pt idx="12">
                        <c:v>Mar 3, 2026</c:v>
                      </c:pt>
                      <c:pt idx="13">
                        <c:v>Mar 2, 2026</c:v>
                      </c:pt>
                      <c:pt idx="14">
                        <c:v>Feb 27, 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'Brent Crude Prices'!$C$3:$C$17</c15:sqref>
                        </c15:formulaRef>
                      </c:ext>
                    </c:extLst>
                    <c:numCache>
                      <c:formatCode>#,##0.00</c:formatCode>
                      <c:ptCount val="15"/>
                      <c:pt idx="0">
                        <c:v>119.12</c:v>
                      </c:pt>
                      <c:pt idx="1">
                        <c:v>111.86</c:v>
                      </c:pt>
                      <c:pt idx="2">
                        <c:v>104.98</c:v>
                      </c:pt>
                      <c:pt idx="3">
                        <c:v>106.51</c:v>
                      </c:pt>
                      <c:pt idx="4">
                        <c:v>103.9</c:v>
                      </c:pt>
                      <c:pt idx="5">
                        <c:v>101.8</c:v>
                      </c:pt>
                      <c:pt idx="6">
                        <c:v>93.25</c:v>
                      </c:pt>
                      <c:pt idx="7">
                        <c:v>95.08</c:v>
                      </c:pt>
                      <c:pt idx="8">
                        <c:v>119.4</c:v>
                      </c:pt>
                      <c:pt idx="9">
                        <c:v>94.55</c:v>
                      </c:pt>
                      <c:pt idx="10">
                        <c:v>86.28</c:v>
                      </c:pt>
                      <c:pt idx="11">
                        <c:v>84.45</c:v>
                      </c:pt>
                      <c:pt idx="12">
                        <c:v>85.05</c:v>
                      </c:pt>
                      <c:pt idx="13">
                        <c:v>82.11</c:v>
                      </c:pt>
                      <c:pt idx="14">
                        <c:v>72.989999999999995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366-4892-9FD7-46CDC3E62FF5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'Brent Crude Prices'!$D$2</c15:sqref>
                        </c15:formulaRef>
                      </c:ext>
                    </c:extLst>
                    <c:strCache>
                      <c:ptCount val="1"/>
                      <c:pt idx="0">
                        <c:v>Low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'Brent Crude Prices'!$A$3:$A$17</c15:sqref>
                        </c15:formulaRef>
                      </c:ext>
                    </c:extLst>
                    <c:strCache>
                      <c:ptCount val="15"/>
                      <c:pt idx="0">
                        <c:v>Mar 19, 2026</c:v>
                      </c:pt>
                      <c:pt idx="1">
                        <c:v>Mar 18, 2026</c:v>
                      </c:pt>
                      <c:pt idx="2">
                        <c:v>Mar 17, 2026</c:v>
                      </c:pt>
                      <c:pt idx="3">
                        <c:v>Mar 16, 2026</c:v>
                      </c:pt>
                      <c:pt idx="4">
                        <c:v>Mar 13, 2026</c:v>
                      </c:pt>
                      <c:pt idx="5">
                        <c:v>Mar 12, 2026</c:v>
                      </c:pt>
                      <c:pt idx="6">
                        <c:v>Mar 11, 2026</c:v>
                      </c:pt>
                      <c:pt idx="7">
                        <c:v>Mar 10, 2026</c:v>
                      </c:pt>
                      <c:pt idx="8">
                        <c:v>Mar 9, 2026</c:v>
                      </c:pt>
                      <c:pt idx="9">
                        <c:v>Mar 6, 2026</c:v>
                      </c:pt>
                      <c:pt idx="10">
                        <c:v>Mar 5, 2026</c:v>
                      </c:pt>
                      <c:pt idx="11">
                        <c:v>Mar 4, 2026</c:v>
                      </c:pt>
                      <c:pt idx="12">
                        <c:v>Mar 3, 2026</c:v>
                      </c:pt>
                      <c:pt idx="13">
                        <c:v>Mar 2, 2026</c:v>
                      </c:pt>
                      <c:pt idx="14">
                        <c:v>Feb 27, 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'Brent Crude Prices'!$D$3:$D$17</c15:sqref>
                        </c15:formulaRef>
                      </c:ext>
                    </c:extLst>
                    <c:numCache>
                      <c:formatCode>#,##0.00</c:formatCode>
                      <c:ptCount val="15"/>
                      <c:pt idx="0">
                        <c:v>103.75</c:v>
                      </c:pt>
                      <c:pt idx="1">
                        <c:v>100.34</c:v>
                      </c:pt>
                      <c:pt idx="2">
                        <c:v>100.76</c:v>
                      </c:pt>
                      <c:pt idx="3">
                        <c:v>99.56</c:v>
                      </c:pt>
                      <c:pt idx="4">
                        <c:v>97.55</c:v>
                      </c:pt>
                      <c:pt idx="5">
                        <c:v>93.7</c:v>
                      </c:pt>
                      <c:pt idx="6">
                        <c:v>86.32</c:v>
                      </c:pt>
                      <c:pt idx="7">
                        <c:v>81.16</c:v>
                      </c:pt>
                      <c:pt idx="8">
                        <c:v>83.88</c:v>
                      </c:pt>
                      <c:pt idx="9">
                        <c:v>83.17</c:v>
                      </c:pt>
                      <c:pt idx="10">
                        <c:v>81.52</c:v>
                      </c:pt>
                      <c:pt idx="11">
                        <c:v>80.3</c:v>
                      </c:pt>
                      <c:pt idx="12">
                        <c:v>77.37</c:v>
                      </c:pt>
                      <c:pt idx="13">
                        <c:v>75.790000000000006</c:v>
                      </c:pt>
                      <c:pt idx="14">
                        <c:v>70.44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366-4892-9FD7-46CDC3E62FF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'Brent Crude Prices'!$F$2</c:f>
              <c:strCache>
                <c:ptCount val="1"/>
                <c:pt idx="0">
                  <c:v>Return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'Brent Crude Prices'!$A$3:$A$17</c:f>
              <c:strCache>
                <c:ptCount val="15"/>
                <c:pt idx="0">
                  <c:v>Mar 19, 2026</c:v>
                </c:pt>
                <c:pt idx="1">
                  <c:v>Mar 18, 2026</c:v>
                </c:pt>
                <c:pt idx="2">
                  <c:v>Mar 17, 2026</c:v>
                </c:pt>
                <c:pt idx="3">
                  <c:v>Mar 16, 2026</c:v>
                </c:pt>
                <c:pt idx="4">
                  <c:v>Mar 13, 2026</c:v>
                </c:pt>
                <c:pt idx="5">
                  <c:v>Mar 12, 2026</c:v>
                </c:pt>
                <c:pt idx="6">
                  <c:v>Mar 11, 2026</c:v>
                </c:pt>
                <c:pt idx="7">
                  <c:v>Mar 10, 2026</c:v>
                </c:pt>
                <c:pt idx="8">
                  <c:v>Mar 9, 2026</c:v>
                </c:pt>
                <c:pt idx="9">
                  <c:v>Mar 6, 2026</c:v>
                </c:pt>
                <c:pt idx="10">
                  <c:v>Mar 5, 2026</c:v>
                </c:pt>
                <c:pt idx="11">
                  <c:v>Mar 4, 2026</c:v>
                </c:pt>
                <c:pt idx="12">
                  <c:v>Mar 3, 2026</c:v>
                </c:pt>
                <c:pt idx="13">
                  <c:v>Mar 2, 2026</c:v>
                </c:pt>
                <c:pt idx="14">
                  <c:v>Feb 27, 2026</c:v>
                </c:pt>
              </c:strCache>
            </c:strRef>
          </c:cat>
          <c:val>
            <c:numRef>
              <c:f>'Brent Crude Prices'!$F$3:$F$17</c:f>
              <c:numCache>
                <c:formatCode>0%</c:formatCode>
                <c:ptCount val="15"/>
                <c:pt idx="0">
                  <c:v>-9.210286339595029E-3</c:v>
                </c:pt>
                <c:pt idx="1">
                  <c:v>3.7989366843885861E-2</c:v>
                </c:pt>
                <c:pt idx="2">
                  <c:v>2.0222945644668019E-2</c:v>
                </c:pt>
                <c:pt idx="3">
                  <c:v>-5.0232205478153838E-2</c:v>
                </c:pt>
                <c:pt idx="4">
                  <c:v>1.4558331693881606E-2</c:v>
                </c:pt>
                <c:pt idx="5">
                  <c:v>7.1687646682312769E-2</c:v>
                </c:pt>
                <c:pt idx="6">
                  <c:v>7.4479737130340286E-3</c:v>
                </c:pt>
                <c:pt idx="7">
                  <c:v>-5.0297458085451656E-2</c:v>
                </c:pt>
                <c:pt idx="8">
                  <c:v>6.1000406669377222E-3</c:v>
                </c:pt>
                <c:pt idx="9">
                  <c:v>9.2527109853842451E-2</c:v>
                </c:pt>
                <c:pt idx="10">
                  <c:v>3.615188644910821E-2</c:v>
                </c:pt>
                <c:pt idx="11">
                  <c:v>-6.105006105006105E-3</c:v>
                </c:pt>
                <c:pt idx="12">
                  <c:v>4.2921204356182047E-2</c:v>
                </c:pt>
                <c:pt idx="13">
                  <c:v>9.6103896103895432E-3</c:v>
                </c:pt>
                <c:pt idx="14">
                  <c:v>2.8085106382978779E-2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366-4892-9FD7-46CDC3E62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3609376"/>
        <c:axId val="683608416"/>
      </c:lineChart>
      <c:catAx>
        <c:axId val="16565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49120"/>
        <c:crosses val="autoZero"/>
        <c:auto val="1"/>
        <c:lblAlgn val="ctr"/>
        <c:lblOffset val="100"/>
        <c:noMultiLvlLbl val="0"/>
      </c:catAx>
      <c:valAx>
        <c:axId val="16564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52000"/>
        <c:crosses val="autoZero"/>
        <c:crossBetween val="between"/>
      </c:valAx>
      <c:valAx>
        <c:axId val="683608416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609376"/>
        <c:crosses val="max"/>
        <c:crossBetween val="between"/>
      </c:valAx>
      <c:catAx>
        <c:axId val="6836093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83608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</xdr:colOff>
      <xdr:row>0</xdr:row>
      <xdr:rowOff>0</xdr:rowOff>
    </xdr:from>
    <xdr:to>
      <xdr:col>19</xdr:col>
      <xdr:colOff>419100</xdr:colOff>
      <xdr:row>24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E26160-5FF6-0E4C-4E36-8C62F904FA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137160</xdr:colOff>
      <xdr:row>2</xdr:row>
      <xdr:rowOff>22860</xdr:rowOff>
    </xdr:from>
    <xdr:to>
      <xdr:col>18</xdr:col>
      <xdr:colOff>30480</xdr:colOff>
      <xdr:row>22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BDBE92-1026-EF0F-152B-B799A29619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1</xdr:row>
      <xdr:rowOff>297180</xdr:rowOff>
    </xdr:from>
    <xdr:to>
      <xdr:col>20</xdr:col>
      <xdr:colOff>22860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C9E690-5A71-4579-04D2-B48FF4A1D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</xdr:colOff>
      <xdr:row>0</xdr:row>
      <xdr:rowOff>121920</xdr:rowOff>
    </xdr:from>
    <xdr:to>
      <xdr:col>19</xdr:col>
      <xdr:colOff>91440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A245BB-07FC-E0D0-CCB1-E3A91320D2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4ECDE-433B-4F38-890C-BAEEBE7AA365}">
  <dimension ref="A1:F16"/>
  <sheetViews>
    <sheetView workbookViewId="0">
      <pane ySplit="1" topLeftCell="A2" activePane="bottomLeft" state="frozen"/>
      <selection pane="bottomLeft" activeCell="E28" sqref="E28"/>
    </sheetView>
  </sheetViews>
  <sheetFormatPr defaultRowHeight="13.8" x14ac:dyDescent="0.25"/>
  <cols>
    <col min="1" max="1" width="16" style="1" customWidth="1"/>
    <col min="2" max="6" width="12" style="1" customWidth="1"/>
    <col min="7" max="7" width="18" style="1" customWidth="1"/>
    <col min="8" max="16384" width="8.88671875" style="1"/>
  </cols>
  <sheetData>
    <row r="1" spans="1:6" ht="25.05" customHeight="1" x14ac:dyDescent="0.25">
      <c r="A1" s="6" t="s">
        <v>19</v>
      </c>
      <c r="B1" s="6" t="s">
        <v>18</v>
      </c>
      <c r="C1" s="6" t="s">
        <v>17</v>
      </c>
      <c r="D1" s="6" t="s">
        <v>16</v>
      </c>
      <c r="E1" s="6" t="s">
        <v>15</v>
      </c>
      <c r="F1" s="6" t="s">
        <v>22</v>
      </c>
    </row>
    <row r="2" spans="1:6" x14ac:dyDescent="0.25">
      <c r="A2" s="3" t="s">
        <v>14</v>
      </c>
      <c r="B2" s="2">
        <v>6583.12</v>
      </c>
      <c r="C2" s="2">
        <v>6636.74</v>
      </c>
      <c r="D2" s="2">
        <v>6557.82</v>
      </c>
      <c r="E2" s="2">
        <v>6606.49</v>
      </c>
      <c r="F2" s="8">
        <f>(E2-B2)/B2</f>
        <v>3.54998845532208E-3</v>
      </c>
    </row>
    <row r="3" spans="1:6" x14ac:dyDescent="0.25">
      <c r="A3" s="5" t="s">
        <v>13</v>
      </c>
      <c r="B3" s="4">
        <v>6697.16</v>
      </c>
      <c r="C3" s="4">
        <v>6705.18</v>
      </c>
      <c r="D3" s="4">
        <v>6621.66</v>
      </c>
      <c r="E3" s="4">
        <v>6624.7</v>
      </c>
      <c r="F3" s="8">
        <f t="shared" ref="F3:F16" si="0">(E3-B3)/B3</f>
        <v>-1.0819511554151317E-2</v>
      </c>
    </row>
    <row r="4" spans="1:6" x14ac:dyDescent="0.25">
      <c r="A4" s="3" t="s">
        <v>12</v>
      </c>
      <c r="B4" s="2">
        <v>6722.35</v>
      </c>
      <c r="C4" s="2">
        <v>6754.3</v>
      </c>
      <c r="D4" s="2">
        <v>6710.8</v>
      </c>
      <c r="E4" s="2">
        <v>6716.09</v>
      </c>
      <c r="F4" s="8">
        <f t="shared" si="0"/>
        <v>-9.3122196850806908E-4</v>
      </c>
    </row>
    <row r="5" spans="1:6" x14ac:dyDescent="0.25">
      <c r="A5" s="5" t="s">
        <v>11</v>
      </c>
      <c r="B5" s="4">
        <v>6674.37</v>
      </c>
      <c r="C5" s="4">
        <v>6729.79</v>
      </c>
      <c r="D5" s="4">
        <v>6674.37</v>
      </c>
      <c r="E5" s="4">
        <v>6699.38</v>
      </c>
      <c r="F5" s="8">
        <f t="shared" si="0"/>
        <v>3.7471701448976037E-3</v>
      </c>
    </row>
    <row r="6" spans="1:6" x14ac:dyDescent="0.25">
      <c r="A6" s="3" t="s">
        <v>10</v>
      </c>
      <c r="B6" s="2">
        <v>6673.49</v>
      </c>
      <c r="C6" s="2">
        <v>6733.3</v>
      </c>
      <c r="D6" s="2">
        <v>6623.92</v>
      </c>
      <c r="E6" s="2">
        <v>6632.19</v>
      </c>
      <c r="F6" s="8">
        <f t="shared" si="0"/>
        <v>-6.1886659004509164E-3</v>
      </c>
    </row>
    <row r="7" spans="1:6" x14ac:dyDescent="0.25">
      <c r="A7" s="5" t="s">
        <v>9</v>
      </c>
      <c r="B7" s="4">
        <v>6740.88</v>
      </c>
      <c r="C7" s="4">
        <v>6740.88</v>
      </c>
      <c r="D7" s="4">
        <v>6670.4</v>
      </c>
      <c r="E7" s="4">
        <v>6672.62</v>
      </c>
      <c r="F7" s="8">
        <f t="shared" si="0"/>
        <v>-1.0126274314332879E-2</v>
      </c>
    </row>
    <row r="8" spans="1:6" x14ac:dyDescent="0.25">
      <c r="A8" s="3" t="s">
        <v>8</v>
      </c>
      <c r="B8" s="2">
        <v>6790.09</v>
      </c>
      <c r="C8" s="2">
        <v>6811.15</v>
      </c>
      <c r="D8" s="2">
        <v>6745.59</v>
      </c>
      <c r="E8" s="2">
        <v>6775.8</v>
      </c>
      <c r="F8" s="8">
        <f t="shared" si="0"/>
        <v>-2.1045376423581962E-3</v>
      </c>
    </row>
    <row r="9" spans="1:6" x14ac:dyDescent="0.25">
      <c r="A9" s="5" t="s">
        <v>7</v>
      </c>
      <c r="B9" s="4">
        <v>6796.56</v>
      </c>
      <c r="C9" s="4">
        <v>6845.08</v>
      </c>
      <c r="D9" s="4">
        <v>6759.74</v>
      </c>
      <c r="E9" s="4">
        <v>6781.48</v>
      </c>
      <c r="F9" s="8">
        <f t="shared" si="0"/>
        <v>-2.2187694951564963E-3</v>
      </c>
    </row>
    <row r="10" spans="1:6" x14ac:dyDescent="0.25">
      <c r="A10" s="3" t="s">
        <v>6</v>
      </c>
      <c r="B10" s="2">
        <v>6699.8</v>
      </c>
      <c r="C10" s="2">
        <v>6810.44</v>
      </c>
      <c r="D10" s="2">
        <v>6636.04</v>
      </c>
      <c r="E10" s="2">
        <v>6795.99</v>
      </c>
      <c r="F10" s="8">
        <f t="shared" si="0"/>
        <v>1.4357144989402609E-2</v>
      </c>
    </row>
    <row r="11" spans="1:6" x14ac:dyDescent="0.25">
      <c r="A11" s="5" t="s">
        <v>5</v>
      </c>
      <c r="B11" s="4">
        <v>6769.03</v>
      </c>
      <c r="C11" s="4">
        <v>6773.42</v>
      </c>
      <c r="D11" s="4">
        <v>6711.56</v>
      </c>
      <c r="E11" s="4">
        <v>6740.02</v>
      </c>
      <c r="F11" s="8">
        <f t="shared" si="0"/>
        <v>-4.2856952916443432E-3</v>
      </c>
    </row>
    <row r="12" spans="1:6" x14ac:dyDescent="0.25">
      <c r="A12" s="3" t="s">
        <v>4</v>
      </c>
      <c r="B12" s="2">
        <v>6851.08</v>
      </c>
      <c r="C12" s="2">
        <v>6870.43</v>
      </c>
      <c r="D12" s="2">
        <v>6770.78</v>
      </c>
      <c r="E12" s="2">
        <v>6830.71</v>
      </c>
      <c r="F12" s="8">
        <f t="shared" si="0"/>
        <v>-2.9732538519474144E-3</v>
      </c>
    </row>
    <row r="13" spans="1:6" x14ac:dyDescent="0.25">
      <c r="A13" s="5" t="s">
        <v>3</v>
      </c>
      <c r="B13" s="4">
        <v>6831.69</v>
      </c>
      <c r="C13" s="4">
        <v>6885.94</v>
      </c>
      <c r="D13" s="4">
        <v>6811.64</v>
      </c>
      <c r="E13" s="4">
        <v>6869.5</v>
      </c>
      <c r="F13" s="8">
        <f t="shared" si="0"/>
        <v>5.5345017118751585E-3</v>
      </c>
    </row>
    <row r="14" spans="1:6" x14ac:dyDescent="0.25">
      <c r="A14" s="3" t="s">
        <v>2</v>
      </c>
      <c r="B14" s="2">
        <v>6800.26</v>
      </c>
      <c r="C14" s="2">
        <v>6840.05</v>
      </c>
      <c r="D14" s="2">
        <v>6710.42</v>
      </c>
      <c r="E14" s="2">
        <v>6816.63</v>
      </c>
      <c r="F14" s="8">
        <f t="shared" si="0"/>
        <v>2.4072608988479692E-3</v>
      </c>
    </row>
    <row r="15" spans="1:6" x14ac:dyDescent="0.25">
      <c r="A15" s="5" t="s">
        <v>1</v>
      </c>
      <c r="B15" s="4">
        <v>6824.36</v>
      </c>
      <c r="C15" s="4">
        <v>6901.01</v>
      </c>
      <c r="D15" s="4">
        <v>6796.85</v>
      </c>
      <c r="E15" s="4">
        <v>6881.62</v>
      </c>
      <c r="F15" s="8">
        <f t="shared" si="0"/>
        <v>8.3905303940589628E-3</v>
      </c>
    </row>
    <row r="16" spans="1:6" x14ac:dyDescent="0.25">
      <c r="A16" s="3" t="s">
        <v>0</v>
      </c>
      <c r="B16" s="2">
        <v>6856.54</v>
      </c>
      <c r="C16" s="2">
        <v>6882.96</v>
      </c>
      <c r="D16" s="2">
        <v>6831.74</v>
      </c>
      <c r="E16" s="2">
        <v>6878.88</v>
      </c>
      <c r="F16" s="8">
        <f t="shared" si="0"/>
        <v>3.2582031170240596E-3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E0014-16DB-43AE-85F9-9D44E09DDC93}">
  <dimension ref="A1:G16"/>
  <sheetViews>
    <sheetView tabSelected="1" workbookViewId="0">
      <pane ySplit="2" topLeftCell="A3" activePane="bottomLeft" state="frozen"/>
      <selection pane="bottomLeft" activeCell="E20" sqref="E20"/>
    </sheetView>
  </sheetViews>
  <sheetFormatPr defaultRowHeight="13.8" x14ac:dyDescent="0.25"/>
  <cols>
    <col min="1" max="1" width="16" style="1" customWidth="1"/>
    <col min="2" max="7" width="13" style="1" customWidth="1"/>
    <col min="8" max="16384" width="8.88671875" style="1"/>
  </cols>
  <sheetData>
    <row r="1" spans="1:7" x14ac:dyDescent="0.25">
      <c r="G1" s="10" t="s">
        <v>20</v>
      </c>
    </row>
    <row r="2" spans="1:7" ht="25.05" customHeight="1" x14ac:dyDescent="0.25">
      <c r="A2" s="6" t="s">
        <v>19</v>
      </c>
      <c r="B2" s="6" t="s">
        <v>18</v>
      </c>
      <c r="C2" s="6" t="s">
        <v>17</v>
      </c>
      <c r="D2" s="6" t="s">
        <v>16</v>
      </c>
      <c r="E2" s="6" t="s">
        <v>15</v>
      </c>
      <c r="F2" s="6" t="s">
        <v>22</v>
      </c>
    </row>
    <row r="3" spans="1:7" x14ac:dyDescent="0.25">
      <c r="A3" s="5" t="s">
        <v>14</v>
      </c>
      <c r="B3" s="4">
        <v>23197.75</v>
      </c>
      <c r="C3" s="4">
        <v>23378.7</v>
      </c>
      <c r="D3" s="4">
        <v>22930.35</v>
      </c>
      <c r="E3" s="4">
        <v>23002.15</v>
      </c>
      <c r="F3" s="9">
        <f>(E3-B3)/B3</f>
        <v>-8.4318522270478199E-3</v>
      </c>
    </row>
    <row r="4" spans="1:7" x14ac:dyDescent="0.25">
      <c r="A4" s="3" t="s">
        <v>13</v>
      </c>
      <c r="B4" s="2">
        <v>23632.9</v>
      </c>
      <c r="C4" s="2">
        <v>23862.25</v>
      </c>
      <c r="D4" s="2">
        <v>23618.45</v>
      </c>
      <c r="E4" s="2">
        <v>23777.8</v>
      </c>
      <c r="F4" s="9">
        <f t="shared" ref="F4:F16" si="0">(E4-B4)/B4</f>
        <v>6.1312830841749348E-3</v>
      </c>
    </row>
    <row r="5" spans="1:7" x14ac:dyDescent="0.25">
      <c r="A5" s="5" t="s">
        <v>12</v>
      </c>
      <c r="B5" s="4">
        <v>23493.200000000001</v>
      </c>
      <c r="C5" s="4">
        <v>23656.799999999999</v>
      </c>
      <c r="D5" s="4">
        <v>23346.6</v>
      </c>
      <c r="E5" s="4">
        <v>23581.15</v>
      </c>
      <c r="F5" s="9">
        <f t="shared" si="0"/>
        <v>3.7436364565065945E-3</v>
      </c>
    </row>
    <row r="6" spans="1:7" x14ac:dyDescent="0.25">
      <c r="A6" s="3" t="s">
        <v>11</v>
      </c>
      <c r="B6" s="2">
        <v>23116.1</v>
      </c>
      <c r="C6" s="2">
        <v>23502</v>
      </c>
      <c r="D6" s="2">
        <v>22955.25</v>
      </c>
      <c r="E6" s="2">
        <v>23408.799999999999</v>
      </c>
      <c r="F6" s="9">
        <f t="shared" si="0"/>
        <v>1.2662170521844115E-2</v>
      </c>
    </row>
    <row r="7" spans="1:7" x14ac:dyDescent="0.25">
      <c r="A7" s="5" t="s">
        <v>10</v>
      </c>
      <c r="B7" s="4">
        <v>23462.5</v>
      </c>
      <c r="C7" s="4">
        <v>23492.400000000001</v>
      </c>
      <c r="D7" s="4">
        <v>23112</v>
      </c>
      <c r="E7" s="4">
        <v>23151.1</v>
      </c>
      <c r="F7" s="9">
        <f t="shared" si="0"/>
        <v>-1.3272242940863141E-2</v>
      </c>
    </row>
    <row r="8" spans="1:7" x14ac:dyDescent="0.25">
      <c r="A8" s="3" t="s">
        <v>9</v>
      </c>
      <c r="B8" s="2">
        <v>23674.85</v>
      </c>
      <c r="C8" s="2">
        <v>23833.15</v>
      </c>
      <c r="D8" s="2">
        <v>23556.3</v>
      </c>
      <c r="E8" s="2">
        <v>23639.15</v>
      </c>
      <c r="F8" s="9">
        <f t="shared" si="0"/>
        <v>-1.5079293005023091E-3</v>
      </c>
    </row>
    <row r="9" spans="1:7" x14ac:dyDescent="0.25">
      <c r="A9" s="5" t="s">
        <v>8</v>
      </c>
      <c r="B9" s="4">
        <v>24231.85</v>
      </c>
      <c r="C9" s="4">
        <v>24299</v>
      </c>
      <c r="D9" s="4">
        <v>23834.3</v>
      </c>
      <c r="E9" s="4">
        <v>23866.85</v>
      </c>
      <c r="F9" s="9">
        <f t="shared" si="0"/>
        <v>-1.5062820213892048E-2</v>
      </c>
    </row>
    <row r="10" spans="1:7" x14ac:dyDescent="0.25">
      <c r="A10" s="3" t="s">
        <v>7</v>
      </c>
      <c r="B10" s="2">
        <v>24280.799999999999</v>
      </c>
      <c r="C10" s="2">
        <v>24303.8</v>
      </c>
      <c r="D10" s="2">
        <v>24079.95</v>
      </c>
      <c r="E10" s="2">
        <v>24261.599999999999</v>
      </c>
      <c r="F10" s="9">
        <f t="shared" si="0"/>
        <v>-7.9074824552736024E-4</v>
      </c>
    </row>
    <row r="11" spans="1:7" x14ac:dyDescent="0.25">
      <c r="A11" s="5" t="s">
        <v>6</v>
      </c>
      <c r="B11" s="4">
        <v>23868.05</v>
      </c>
      <c r="C11" s="4">
        <v>24078.15</v>
      </c>
      <c r="D11" s="4">
        <v>23697.8</v>
      </c>
      <c r="E11" s="4">
        <v>24028.05</v>
      </c>
      <c r="F11" s="9">
        <f t="shared" si="0"/>
        <v>6.7035220723938487E-3</v>
      </c>
    </row>
    <row r="12" spans="1:7" x14ac:dyDescent="0.25">
      <c r="A12" s="3" t="s">
        <v>5</v>
      </c>
      <c r="B12" s="2">
        <v>24656.400000000001</v>
      </c>
      <c r="C12" s="2">
        <v>24700.9</v>
      </c>
      <c r="D12" s="2">
        <v>24415.75</v>
      </c>
      <c r="E12" s="2">
        <v>24450.45</v>
      </c>
      <c r="F12" s="9">
        <f t="shared" si="0"/>
        <v>-8.3528008955078888E-3</v>
      </c>
    </row>
    <row r="13" spans="1:7" x14ac:dyDescent="0.25">
      <c r="A13" s="5" t="s">
        <v>4</v>
      </c>
      <c r="B13" s="4">
        <v>24615.95</v>
      </c>
      <c r="C13" s="4">
        <v>24854.2</v>
      </c>
      <c r="D13" s="4">
        <v>24529.4</v>
      </c>
      <c r="E13" s="4">
        <v>24765.9</v>
      </c>
      <c r="F13" s="9">
        <f t="shared" si="0"/>
        <v>6.0915788340486846E-3</v>
      </c>
    </row>
    <row r="14" spans="1:7" x14ac:dyDescent="0.25">
      <c r="A14" s="3" t="s">
        <v>3</v>
      </c>
      <c r="B14" s="2">
        <v>24388.799999999999</v>
      </c>
      <c r="C14" s="2">
        <v>24602.45</v>
      </c>
      <c r="D14" s="2">
        <v>24305.4</v>
      </c>
      <c r="E14" s="2">
        <v>24480.5</v>
      </c>
      <c r="F14" s="9">
        <f t="shared" si="0"/>
        <v>3.7599225874172049E-3</v>
      </c>
    </row>
    <row r="15" spans="1:7" x14ac:dyDescent="0.25">
      <c r="A15" s="5" t="s">
        <v>1</v>
      </c>
      <c r="B15" s="4">
        <v>24659.25</v>
      </c>
      <c r="C15" s="4">
        <v>24989.35</v>
      </c>
      <c r="D15" s="4">
        <v>24603.5</v>
      </c>
      <c r="E15" s="4">
        <v>24865.7</v>
      </c>
      <c r="F15" s="9">
        <f t="shared" si="0"/>
        <v>8.3721118849924767E-3</v>
      </c>
    </row>
    <row r="16" spans="1:7" x14ac:dyDescent="0.25">
      <c r="A16" s="3" t="s">
        <v>0</v>
      </c>
      <c r="B16" s="2">
        <v>25459.85</v>
      </c>
      <c r="C16" s="2">
        <v>25476.400000000001</v>
      </c>
      <c r="D16" s="2">
        <v>25141.3</v>
      </c>
      <c r="E16" s="2">
        <v>25178.65</v>
      </c>
      <c r="F16" s="9">
        <f t="shared" si="0"/>
        <v>-1.1044841191130235E-2</v>
      </c>
    </row>
  </sheetData>
  <mergeCells count="1">
    <mergeCell ref="G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EBC9F-B5FF-4A90-8D69-B539418BE4FC}">
  <dimension ref="A1:G17"/>
  <sheetViews>
    <sheetView topLeftCell="B1" workbookViewId="0">
      <pane ySplit="2" topLeftCell="A3" activePane="bottomLeft" state="frozen"/>
      <selection pane="bottomLeft" activeCell="F25" sqref="F25"/>
    </sheetView>
  </sheetViews>
  <sheetFormatPr defaultRowHeight="13.8" x14ac:dyDescent="0.25"/>
  <cols>
    <col min="1" max="1" width="16" style="1" customWidth="1"/>
    <col min="2" max="7" width="13" style="1" customWidth="1"/>
    <col min="8" max="16384" width="8.88671875" style="1"/>
  </cols>
  <sheetData>
    <row r="1" spans="1:7" x14ac:dyDescent="0.25">
      <c r="G1" s="7" t="s">
        <v>21</v>
      </c>
    </row>
    <row r="2" spans="1:7" ht="25.05" customHeight="1" x14ac:dyDescent="0.25">
      <c r="A2" s="6" t="s">
        <v>19</v>
      </c>
      <c r="B2" s="6" t="s">
        <v>18</v>
      </c>
      <c r="C2" s="6" t="s">
        <v>17</v>
      </c>
      <c r="D2" s="6" t="s">
        <v>16</v>
      </c>
      <c r="E2" s="6" t="s">
        <v>15</v>
      </c>
      <c r="F2" s="6" t="s">
        <v>22</v>
      </c>
    </row>
    <row r="3" spans="1:7" x14ac:dyDescent="0.25">
      <c r="A3" s="5" t="s">
        <v>14</v>
      </c>
      <c r="B3" s="4">
        <v>4830.3</v>
      </c>
      <c r="C3" s="4">
        <v>4830.3</v>
      </c>
      <c r="D3" s="4">
        <v>4554</v>
      </c>
      <c r="E3" s="4">
        <v>4600.7</v>
      </c>
      <c r="F3" s="9">
        <f>(E3-B3)/B3</f>
        <v>-4.753327950644895E-2</v>
      </c>
    </row>
    <row r="4" spans="1:7" x14ac:dyDescent="0.25">
      <c r="A4" s="3" t="s">
        <v>13</v>
      </c>
      <c r="B4" s="2">
        <v>4949.6000000000004</v>
      </c>
      <c r="C4" s="2">
        <v>4949.6000000000004</v>
      </c>
      <c r="D4" s="2">
        <v>4821.7</v>
      </c>
      <c r="E4" s="2">
        <v>4889.8999999999996</v>
      </c>
      <c r="F4" s="9">
        <f t="shared" ref="F4:F17" si="0">(E4-B4)/B4</f>
        <v>-1.2061580733796817E-2</v>
      </c>
    </row>
    <row r="5" spans="1:7" x14ac:dyDescent="0.25">
      <c r="A5" s="5" t="s">
        <v>12</v>
      </c>
      <c r="B5" s="4">
        <v>5017.6000000000004</v>
      </c>
      <c r="C5" s="4">
        <v>5017.6000000000004</v>
      </c>
      <c r="D5" s="4">
        <v>4994.2</v>
      </c>
      <c r="E5" s="4">
        <v>5001</v>
      </c>
      <c r="F5" s="9">
        <f t="shared" si="0"/>
        <v>-3.3083545918368069E-3</v>
      </c>
    </row>
    <row r="6" spans="1:7" x14ac:dyDescent="0.25">
      <c r="A6" s="3" t="s">
        <v>11</v>
      </c>
      <c r="B6" s="2">
        <v>5001.6000000000004</v>
      </c>
      <c r="C6" s="2">
        <v>5010.6000000000004</v>
      </c>
      <c r="D6" s="2">
        <v>4994</v>
      </c>
      <c r="E6" s="2">
        <v>4994</v>
      </c>
      <c r="F6" s="9">
        <f t="shared" si="0"/>
        <v>-1.5195137555982811E-3</v>
      </c>
    </row>
    <row r="7" spans="1:7" x14ac:dyDescent="0.25">
      <c r="A7" s="5" t="s">
        <v>10</v>
      </c>
      <c r="B7" s="4">
        <v>5089.6000000000004</v>
      </c>
      <c r="C7" s="4">
        <v>5117</v>
      </c>
      <c r="D7" s="4">
        <v>5009.5</v>
      </c>
      <c r="E7" s="4">
        <v>5052.5</v>
      </c>
      <c r="F7" s="9">
        <f t="shared" si="0"/>
        <v>-7.2893744105627873E-3</v>
      </c>
    </row>
    <row r="8" spans="1:7" x14ac:dyDescent="0.25">
      <c r="A8" s="3" t="s">
        <v>9</v>
      </c>
      <c r="B8" s="2">
        <v>5137.2</v>
      </c>
      <c r="C8" s="2">
        <v>5137.2</v>
      </c>
      <c r="D8" s="2">
        <v>5115.8</v>
      </c>
      <c r="E8" s="2">
        <v>5115.8</v>
      </c>
      <c r="F8" s="9">
        <f t="shared" si="0"/>
        <v>-4.1656933738222447E-3</v>
      </c>
    </row>
    <row r="9" spans="1:7" x14ac:dyDescent="0.25">
      <c r="A9" s="5" t="s">
        <v>8</v>
      </c>
      <c r="B9" s="4">
        <v>5190.8</v>
      </c>
      <c r="C9" s="4">
        <v>5191.3</v>
      </c>
      <c r="D9" s="4">
        <v>5167.3999999999996</v>
      </c>
      <c r="E9" s="4">
        <v>5167.3999999999996</v>
      </c>
      <c r="F9" s="9">
        <f t="shared" si="0"/>
        <v>-4.5079756492256576E-3</v>
      </c>
    </row>
    <row r="10" spans="1:7" x14ac:dyDescent="0.25">
      <c r="A10" s="3" t="s">
        <v>7</v>
      </c>
      <c r="B10" s="2">
        <v>5138.2</v>
      </c>
      <c r="C10" s="2">
        <v>5229.7</v>
      </c>
      <c r="D10" s="2">
        <v>5137.6000000000004</v>
      </c>
      <c r="E10" s="2">
        <v>5229.7</v>
      </c>
      <c r="F10" s="9">
        <f t="shared" si="0"/>
        <v>1.7807792612198826E-2</v>
      </c>
    </row>
    <row r="11" spans="1:7" x14ac:dyDescent="0.25">
      <c r="A11" s="5" t="s">
        <v>6</v>
      </c>
      <c r="B11" s="4">
        <v>5155</v>
      </c>
      <c r="C11" s="4">
        <v>5160.6000000000004</v>
      </c>
      <c r="D11" s="4">
        <v>5077.7</v>
      </c>
      <c r="E11" s="4">
        <v>5091.5</v>
      </c>
      <c r="F11" s="9">
        <f t="shared" si="0"/>
        <v>-1.2318137730358876E-2</v>
      </c>
    </row>
    <row r="12" spans="1:7" x14ac:dyDescent="0.25">
      <c r="A12" s="3" t="s">
        <v>5</v>
      </c>
      <c r="B12" s="2">
        <v>5121</v>
      </c>
      <c r="C12" s="2">
        <v>5146.1000000000004</v>
      </c>
      <c r="D12" s="2">
        <v>5076.1000000000004</v>
      </c>
      <c r="E12" s="2">
        <v>5146.1000000000004</v>
      </c>
      <c r="F12" s="9">
        <f t="shared" si="0"/>
        <v>4.901386447959454E-3</v>
      </c>
    </row>
    <row r="13" spans="1:7" x14ac:dyDescent="0.25">
      <c r="A13" s="5" t="s">
        <v>4</v>
      </c>
      <c r="B13" s="4">
        <v>5169.5</v>
      </c>
      <c r="C13" s="4">
        <v>5169.5</v>
      </c>
      <c r="D13" s="4">
        <v>5054.7</v>
      </c>
      <c r="E13" s="4">
        <v>5065.3</v>
      </c>
      <c r="F13" s="9">
        <f t="shared" si="0"/>
        <v>-2.0156688267724116E-2</v>
      </c>
    </row>
    <row r="14" spans="1:7" x14ac:dyDescent="0.25">
      <c r="A14" s="3" t="s">
        <v>3</v>
      </c>
      <c r="B14" s="2">
        <v>5130.7</v>
      </c>
      <c r="C14" s="2">
        <v>5180.2</v>
      </c>
      <c r="D14" s="2">
        <v>5117.2</v>
      </c>
      <c r="E14" s="2">
        <v>5120.2</v>
      </c>
      <c r="F14" s="9">
        <f t="shared" si="0"/>
        <v>-2.0465043756212604E-3</v>
      </c>
    </row>
    <row r="15" spans="1:7" x14ac:dyDescent="0.25">
      <c r="A15" s="5" t="s">
        <v>2</v>
      </c>
      <c r="B15" s="4">
        <v>5298.7</v>
      </c>
      <c r="C15" s="4">
        <v>5303.8</v>
      </c>
      <c r="D15" s="4">
        <v>5023</v>
      </c>
      <c r="E15" s="4">
        <v>5107.3999999999996</v>
      </c>
      <c r="F15" s="9">
        <f t="shared" si="0"/>
        <v>-3.6103195123332175E-2</v>
      </c>
    </row>
    <row r="16" spans="1:7" x14ac:dyDescent="0.25">
      <c r="A16" s="3" t="s">
        <v>1</v>
      </c>
      <c r="B16" s="2">
        <v>5346.6</v>
      </c>
      <c r="C16" s="2">
        <v>5405</v>
      </c>
      <c r="D16" s="2">
        <v>5266.3</v>
      </c>
      <c r="E16" s="2">
        <v>5294.4</v>
      </c>
      <c r="F16" s="9">
        <f t="shared" si="0"/>
        <v>-9.7632140051622952E-3</v>
      </c>
    </row>
    <row r="17" spans="1:6" x14ac:dyDescent="0.25">
      <c r="A17" s="5" t="s">
        <v>0</v>
      </c>
      <c r="B17" s="4">
        <v>5186.7</v>
      </c>
      <c r="C17" s="4">
        <v>5280</v>
      </c>
      <c r="D17" s="4">
        <v>5176.7</v>
      </c>
      <c r="E17" s="4">
        <v>5230.5</v>
      </c>
      <c r="F17" s="9">
        <f t="shared" si="0"/>
        <v>8.4446758054254507E-3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F03E0-90EE-4F91-8D5C-7F0CD7277E8A}">
  <dimension ref="A1:G17"/>
  <sheetViews>
    <sheetView workbookViewId="0">
      <pane ySplit="2" topLeftCell="A3" activePane="bottomLeft" state="frozen"/>
      <selection pane="bottomLeft" activeCell="D21" sqref="D21"/>
    </sheetView>
  </sheetViews>
  <sheetFormatPr defaultRowHeight="13.8" x14ac:dyDescent="0.25"/>
  <cols>
    <col min="1" max="1" width="16" style="1" customWidth="1"/>
    <col min="2" max="7" width="13" style="1" customWidth="1"/>
    <col min="8" max="16384" width="8.88671875" style="1"/>
  </cols>
  <sheetData>
    <row r="1" spans="1:7" x14ac:dyDescent="0.25">
      <c r="G1" s="7" t="s">
        <v>21</v>
      </c>
    </row>
    <row r="2" spans="1:7" ht="25.05" customHeight="1" x14ac:dyDescent="0.25">
      <c r="A2" s="6" t="s">
        <v>19</v>
      </c>
      <c r="B2" s="6" t="s">
        <v>18</v>
      </c>
      <c r="C2" s="6" t="s">
        <v>17</v>
      </c>
      <c r="D2" s="6" t="s">
        <v>16</v>
      </c>
      <c r="E2" s="6" t="s">
        <v>15</v>
      </c>
      <c r="F2" s="6" t="s">
        <v>22</v>
      </c>
    </row>
    <row r="3" spans="1:7" x14ac:dyDescent="0.25">
      <c r="A3" s="5" t="s">
        <v>14</v>
      </c>
      <c r="B3" s="4">
        <v>109.66</v>
      </c>
      <c r="C3" s="4">
        <v>119.12</v>
      </c>
      <c r="D3" s="4">
        <v>103.75</v>
      </c>
      <c r="E3" s="4">
        <v>108.65</v>
      </c>
      <c r="F3" s="9">
        <f>(E3-B3)/B3</f>
        <v>-9.210286339595029E-3</v>
      </c>
    </row>
    <row r="4" spans="1:7" x14ac:dyDescent="0.25">
      <c r="A4" s="3" t="s">
        <v>13</v>
      </c>
      <c r="B4" s="2">
        <v>103.45</v>
      </c>
      <c r="C4" s="2">
        <v>111.86</v>
      </c>
      <c r="D4" s="2">
        <v>100.34</v>
      </c>
      <c r="E4" s="2">
        <v>107.38</v>
      </c>
      <c r="F4" s="9">
        <f t="shared" ref="F4:F17" si="0">(E4-B4)/B4</f>
        <v>3.7989366843885861E-2</v>
      </c>
    </row>
    <row r="5" spans="1:7" x14ac:dyDescent="0.25">
      <c r="A5" s="5" t="s">
        <v>12</v>
      </c>
      <c r="B5" s="4">
        <v>101.37</v>
      </c>
      <c r="C5" s="4">
        <v>104.98</v>
      </c>
      <c r="D5" s="4">
        <v>100.76</v>
      </c>
      <c r="E5" s="4">
        <v>103.42</v>
      </c>
      <c r="F5" s="9">
        <f t="shared" si="0"/>
        <v>2.0222945644668019E-2</v>
      </c>
    </row>
    <row r="6" spans="1:7" x14ac:dyDescent="0.25">
      <c r="A6" s="3" t="s">
        <v>11</v>
      </c>
      <c r="B6" s="2">
        <v>105.51</v>
      </c>
      <c r="C6" s="2">
        <v>106.51</v>
      </c>
      <c r="D6" s="2">
        <v>99.56</v>
      </c>
      <c r="E6" s="2">
        <v>100.21</v>
      </c>
      <c r="F6" s="9">
        <f t="shared" si="0"/>
        <v>-5.0232205478153838E-2</v>
      </c>
    </row>
    <row r="7" spans="1:7" x14ac:dyDescent="0.25">
      <c r="A7" s="5" t="s">
        <v>10</v>
      </c>
      <c r="B7" s="4">
        <v>101.66</v>
      </c>
      <c r="C7" s="4">
        <v>103.9</v>
      </c>
      <c r="D7" s="4">
        <v>97.55</v>
      </c>
      <c r="E7" s="4">
        <v>103.14</v>
      </c>
      <c r="F7" s="9">
        <f t="shared" si="0"/>
        <v>1.4558331693881606E-2</v>
      </c>
    </row>
    <row r="8" spans="1:7" x14ac:dyDescent="0.25">
      <c r="A8" s="3" t="s">
        <v>9</v>
      </c>
      <c r="B8" s="2">
        <v>93.74</v>
      </c>
      <c r="C8" s="2">
        <v>101.8</v>
      </c>
      <c r="D8" s="2">
        <v>93.7</v>
      </c>
      <c r="E8" s="2">
        <v>100.46</v>
      </c>
      <c r="F8" s="9">
        <f t="shared" si="0"/>
        <v>7.1687646682312769E-2</v>
      </c>
    </row>
    <row r="9" spans="1:7" x14ac:dyDescent="0.25">
      <c r="A9" s="5" t="s">
        <v>8</v>
      </c>
      <c r="B9" s="4">
        <v>91.3</v>
      </c>
      <c r="C9" s="4">
        <v>93.25</v>
      </c>
      <c r="D9" s="4">
        <v>86.32</v>
      </c>
      <c r="E9" s="4">
        <v>91.98</v>
      </c>
      <c r="F9" s="9">
        <f t="shared" si="0"/>
        <v>7.4479737130340286E-3</v>
      </c>
    </row>
    <row r="10" spans="1:7" x14ac:dyDescent="0.25">
      <c r="A10" s="3" t="s">
        <v>7</v>
      </c>
      <c r="B10" s="2">
        <v>92.45</v>
      </c>
      <c r="C10" s="2">
        <v>95.08</v>
      </c>
      <c r="D10" s="2">
        <v>81.16</v>
      </c>
      <c r="E10" s="2">
        <v>87.8</v>
      </c>
      <c r="F10" s="9">
        <f t="shared" si="0"/>
        <v>-5.0297458085451656E-2</v>
      </c>
    </row>
    <row r="11" spans="1:7" x14ac:dyDescent="0.25">
      <c r="A11" s="5" t="s">
        <v>6</v>
      </c>
      <c r="B11" s="4">
        <v>98.36</v>
      </c>
      <c r="C11" s="4">
        <v>119.4</v>
      </c>
      <c r="D11" s="4">
        <v>83.88</v>
      </c>
      <c r="E11" s="4">
        <v>98.96</v>
      </c>
      <c r="F11" s="9">
        <f t="shared" si="0"/>
        <v>6.1000406669377222E-3</v>
      </c>
    </row>
    <row r="12" spans="1:7" x14ac:dyDescent="0.25">
      <c r="A12" s="3" t="s">
        <v>5</v>
      </c>
      <c r="B12" s="2">
        <v>84.84</v>
      </c>
      <c r="C12" s="2">
        <v>94.55</v>
      </c>
      <c r="D12" s="2">
        <v>83.17</v>
      </c>
      <c r="E12" s="2">
        <v>92.69</v>
      </c>
      <c r="F12" s="9">
        <f t="shared" si="0"/>
        <v>9.2527109853842451E-2</v>
      </c>
    </row>
    <row r="13" spans="1:7" x14ac:dyDescent="0.25">
      <c r="A13" s="5" t="s">
        <v>4</v>
      </c>
      <c r="B13" s="4">
        <v>82.43</v>
      </c>
      <c r="C13" s="4">
        <v>86.28</v>
      </c>
      <c r="D13" s="4">
        <v>81.52</v>
      </c>
      <c r="E13" s="4">
        <v>85.41</v>
      </c>
      <c r="F13" s="9">
        <f t="shared" si="0"/>
        <v>3.615188644910821E-2</v>
      </c>
    </row>
    <row r="14" spans="1:7" x14ac:dyDescent="0.25">
      <c r="A14" s="3" t="s">
        <v>3</v>
      </c>
      <c r="B14" s="2">
        <v>81.900000000000006</v>
      </c>
      <c r="C14" s="2">
        <v>84.45</v>
      </c>
      <c r="D14" s="2">
        <v>80.3</v>
      </c>
      <c r="E14" s="2">
        <v>81.400000000000006</v>
      </c>
      <c r="F14" s="9">
        <f t="shared" si="0"/>
        <v>-6.105006105006105E-3</v>
      </c>
    </row>
    <row r="15" spans="1:7" x14ac:dyDescent="0.25">
      <c r="A15" s="5" t="s">
        <v>2</v>
      </c>
      <c r="B15" s="4">
        <v>78.05</v>
      </c>
      <c r="C15" s="4">
        <v>85.05</v>
      </c>
      <c r="D15" s="4">
        <v>77.37</v>
      </c>
      <c r="E15" s="4">
        <v>81.400000000000006</v>
      </c>
      <c r="F15" s="9">
        <f t="shared" si="0"/>
        <v>4.2921204356182047E-2</v>
      </c>
    </row>
    <row r="16" spans="1:7" x14ac:dyDescent="0.25">
      <c r="A16" s="3" t="s">
        <v>1</v>
      </c>
      <c r="B16" s="2">
        <v>77</v>
      </c>
      <c r="C16" s="2">
        <v>82.11</v>
      </c>
      <c r="D16" s="2">
        <v>75.790000000000006</v>
      </c>
      <c r="E16" s="2">
        <v>77.739999999999995</v>
      </c>
      <c r="F16" s="9">
        <f t="shared" si="0"/>
        <v>9.6103896103895432E-3</v>
      </c>
    </row>
    <row r="17" spans="1:6" x14ac:dyDescent="0.25">
      <c r="A17" s="5" t="s">
        <v>0</v>
      </c>
      <c r="B17" s="4">
        <v>70.5</v>
      </c>
      <c r="C17" s="4">
        <v>72.989999999999995</v>
      </c>
      <c r="D17" s="4">
        <v>70.44</v>
      </c>
      <c r="E17" s="4">
        <v>72.48</v>
      </c>
      <c r="F17" s="9">
        <f t="shared" si="0"/>
        <v>2.8085106382978779E-2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S&amp;P 500 Historical Data</vt:lpstr>
      <vt:lpstr>Nifty Historical Data</vt:lpstr>
      <vt:lpstr>GOLD Historical Data USD</vt:lpstr>
      <vt:lpstr>Brent Crude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Shubhangi Srinetra</cp:lastModifiedBy>
  <dcterms:created xsi:type="dcterms:W3CDTF">2026-03-25T05:10:26Z</dcterms:created>
  <dcterms:modified xsi:type="dcterms:W3CDTF">2026-03-25T09:00:02Z</dcterms:modified>
</cp:coreProperties>
</file>